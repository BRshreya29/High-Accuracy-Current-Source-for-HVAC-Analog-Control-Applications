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 siemens\Design a current source\Data\Final_measurements\"/>
    </mc:Choice>
  </mc:AlternateContent>
  <xr:revisionPtr revIDLastSave="45" documentId="13_ncr:1_{0645F18C-8D2D-4AD8-A876-6F0B54AB0790}" xr6:coauthVersionLast="47" xr6:coauthVersionMax="47" xr10:uidLastSave="{EC6820A3-5D7D-42BF-B6FE-5F99FBDE79C3}"/>
  <bookViews>
    <workbookView xWindow="-108" yWindow="-108" windowWidth="23256" windowHeight="12456" activeTab="1" xr2:uid="{392A42AB-6512-4D02-94BA-05350B085669}"/>
  </bookViews>
  <sheets>
    <sheet name="esp" sheetId="1" r:id="rId1"/>
    <sheet name="Nucleo" sheetId="3" r:id="rId2"/>
    <sheet name="Esp_to_current_source_direc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4" i="2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5" i="1"/>
  <c r="M5" i="1"/>
  <c r="M6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5" i="1"/>
  <c r="S5" i="1" s="1"/>
  <c r="L46" i="1"/>
  <c r="L30" i="1"/>
  <c r="L18" i="1"/>
  <c r="L17" i="1"/>
  <c r="L16" i="1"/>
  <c r="L15" i="1"/>
  <c r="L14" i="1"/>
  <c r="L11" i="1"/>
  <c r="L10" i="1"/>
  <c r="L6" i="1"/>
  <c r="L7" i="1"/>
  <c r="L8" i="1"/>
  <c r="L9" i="1"/>
  <c r="L12" i="1"/>
  <c r="L13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5" i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5" i="1"/>
  <c r="G5" i="1" s="1"/>
  <c r="T6" i="1" l="1"/>
  <c r="U6" i="1" s="1"/>
  <c r="M7" i="1"/>
  <c r="T5" i="1"/>
  <c r="U5" i="1" s="1"/>
  <c r="T7" i="1" l="1"/>
  <c r="U7" i="1" s="1"/>
  <c r="M8" i="1"/>
  <c r="T8" i="1" l="1"/>
  <c r="U8" i="1" s="1"/>
  <c r="M9" i="1"/>
  <c r="T9" i="1" l="1"/>
  <c r="U9" i="1" s="1"/>
  <c r="M10" i="1"/>
  <c r="T10" i="1" l="1"/>
  <c r="U10" i="1" s="1"/>
  <c r="M11" i="1"/>
  <c r="T11" i="1" l="1"/>
  <c r="U11" i="1" s="1"/>
  <c r="M12" i="1"/>
  <c r="M13" i="1" l="1"/>
  <c r="T12" i="1"/>
  <c r="U12" i="1" s="1"/>
  <c r="M14" i="1" l="1"/>
  <c r="T13" i="1"/>
  <c r="U13" i="1" s="1"/>
  <c r="M15" i="1" l="1"/>
  <c r="T14" i="1"/>
  <c r="U14" i="1" s="1"/>
  <c r="M16" i="1" l="1"/>
  <c r="T15" i="1"/>
  <c r="U15" i="1" s="1"/>
  <c r="M17" i="1" l="1"/>
  <c r="T16" i="1"/>
  <c r="U16" i="1" s="1"/>
  <c r="M18" i="1" l="1"/>
  <c r="T17" i="1"/>
  <c r="U17" i="1" s="1"/>
  <c r="M19" i="1" l="1"/>
  <c r="T18" i="1"/>
  <c r="U18" i="1" s="1"/>
  <c r="M20" i="1" l="1"/>
  <c r="T19" i="1"/>
  <c r="U19" i="1" s="1"/>
  <c r="M21" i="1" l="1"/>
  <c r="T20" i="1"/>
  <c r="U20" i="1" s="1"/>
  <c r="M22" i="1" l="1"/>
  <c r="T21" i="1"/>
  <c r="U21" i="1" s="1"/>
  <c r="M23" i="1" l="1"/>
  <c r="T22" i="1"/>
  <c r="U22" i="1" s="1"/>
  <c r="M24" i="1" l="1"/>
  <c r="T23" i="1"/>
  <c r="U23" i="1" s="1"/>
  <c r="M25" i="1" l="1"/>
  <c r="T24" i="1"/>
  <c r="U24" i="1" s="1"/>
  <c r="M26" i="1" l="1"/>
  <c r="T25" i="1"/>
  <c r="U25" i="1" s="1"/>
  <c r="M27" i="1" l="1"/>
  <c r="T26" i="1"/>
  <c r="U26" i="1" s="1"/>
  <c r="M28" i="1" l="1"/>
  <c r="T27" i="1"/>
  <c r="U27" i="1" s="1"/>
  <c r="M29" i="1" l="1"/>
  <c r="T28" i="1"/>
  <c r="U28" i="1" s="1"/>
  <c r="M30" i="1" l="1"/>
  <c r="T29" i="1"/>
  <c r="U29" i="1" s="1"/>
  <c r="M31" i="1" l="1"/>
  <c r="T30" i="1"/>
  <c r="U30" i="1" s="1"/>
  <c r="M32" i="1" l="1"/>
  <c r="T31" i="1"/>
  <c r="U31" i="1" s="1"/>
  <c r="M33" i="1" l="1"/>
  <c r="T32" i="1"/>
  <c r="U32" i="1" s="1"/>
  <c r="M34" i="1" l="1"/>
  <c r="T33" i="1"/>
  <c r="U33" i="1" s="1"/>
  <c r="M35" i="1" l="1"/>
  <c r="T34" i="1"/>
  <c r="U34" i="1" s="1"/>
  <c r="M36" i="1" l="1"/>
  <c r="T35" i="1"/>
  <c r="U35" i="1" s="1"/>
  <c r="M37" i="1" l="1"/>
  <c r="T36" i="1"/>
  <c r="U36" i="1" s="1"/>
  <c r="M38" i="1" l="1"/>
  <c r="T37" i="1"/>
  <c r="U37" i="1" s="1"/>
  <c r="M39" i="1" l="1"/>
  <c r="T38" i="1"/>
  <c r="U38" i="1" s="1"/>
  <c r="M40" i="1" l="1"/>
  <c r="T39" i="1"/>
  <c r="U39" i="1" s="1"/>
  <c r="M41" i="1" l="1"/>
  <c r="T40" i="1"/>
  <c r="U40" i="1" s="1"/>
  <c r="M42" i="1" l="1"/>
  <c r="T41" i="1"/>
  <c r="U41" i="1" s="1"/>
  <c r="M43" i="1" l="1"/>
  <c r="T42" i="1"/>
  <c r="U42" i="1" s="1"/>
  <c r="M44" i="1" l="1"/>
  <c r="T43" i="1"/>
  <c r="U43" i="1" s="1"/>
  <c r="M45" i="1" l="1"/>
  <c r="T44" i="1"/>
  <c r="U44" i="1" s="1"/>
  <c r="M46" i="1" l="1"/>
  <c r="T45" i="1"/>
  <c r="U45" i="1" s="1"/>
  <c r="M47" i="1" l="1"/>
  <c r="T46" i="1"/>
  <c r="U46" i="1" s="1"/>
  <c r="M48" i="1" l="1"/>
  <c r="T47" i="1"/>
  <c r="U47" i="1" s="1"/>
  <c r="M49" i="1" l="1"/>
  <c r="T48" i="1"/>
  <c r="U48" i="1" s="1"/>
  <c r="M50" i="1" l="1"/>
  <c r="T49" i="1"/>
  <c r="U49" i="1" s="1"/>
  <c r="M51" i="1" l="1"/>
  <c r="T50" i="1"/>
  <c r="U50" i="1" s="1"/>
  <c r="M52" i="1" l="1"/>
  <c r="T51" i="1"/>
  <c r="U51" i="1" s="1"/>
  <c r="M53" i="1" l="1"/>
  <c r="T52" i="1"/>
  <c r="U52" i="1" s="1"/>
  <c r="M54" i="1" l="1"/>
  <c r="T53" i="1"/>
  <c r="U53" i="1" s="1"/>
  <c r="M55" i="1" l="1"/>
  <c r="T54" i="1"/>
  <c r="U54" i="1" s="1"/>
  <c r="M56" i="1" l="1"/>
  <c r="T55" i="1"/>
  <c r="U55" i="1" s="1"/>
  <c r="M57" i="1" l="1"/>
  <c r="T56" i="1"/>
  <c r="U56" i="1" s="1"/>
  <c r="M58" i="1" l="1"/>
  <c r="T57" i="1"/>
  <c r="U57" i="1" s="1"/>
  <c r="M59" i="1" l="1"/>
  <c r="T58" i="1"/>
  <c r="U58" i="1" s="1"/>
  <c r="M60" i="1" l="1"/>
  <c r="T59" i="1"/>
  <c r="U59" i="1" s="1"/>
  <c r="M61" i="1" l="1"/>
  <c r="T60" i="1"/>
  <c r="U60" i="1" s="1"/>
  <c r="M62" i="1" l="1"/>
  <c r="T61" i="1"/>
  <c r="U61" i="1" s="1"/>
  <c r="M63" i="1" l="1"/>
  <c r="T62" i="1"/>
  <c r="U62" i="1" s="1"/>
  <c r="M64" i="1" l="1"/>
  <c r="T63" i="1"/>
  <c r="U63" i="1" s="1"/>
  <c r="M65" i="1" l="1"/>
  <c r="T64" i="1"/>
  <c r="U64" i="1" s="1"/>
  <c r="M66" i="1" l="1"/>
  <c r="T65" i="1"/>
  <c r="U65" i="1" s="1"/>
  <c r="M67" i="1" l="1"/>
  <c r="T66" i="1"/>
  <c r="U66" i="1" s="1"/>
  <c r="M68" i="1" l="1"/>
  <c r="T67" i="1"/>
  <c r="U67" i="1" s="1"/>
  <c r="M69" i="1" l="1"/>
  <c r="T68" i="1"/>
  <c r="U68" i="1" s="1"/>
  <c r="M70" i="1" l="1"/>
  <c r="T69" i="1"/>
  <c r="U69" i="1" s="1"/>
  <c r="M71" i="1" l="1"/>
  <c r="T70" i="1"/>
  <c r="U70" i="1" s="1"/>
  <c r="M72" i="1" l="1"/>
  <c r="T71" i="1"/>
  <c r="U71" i="1" s="1"/>
  <c r="M73" i="1" l="1"/>
  <c r="T72" i="1"/>
  <c r="U72" i="1" s="1"/>
  <c r="M74" i="1" l="1"/>
  <c r="T73" i="1"/>
  <c r="U73" i="1" s="1"/>
  <c r="M75" i="1" l="1"/>
  <c r="T74" i="1"/>
  <c r="U74" i="1" s="1"/>
  <c r="M76" i="1" l="1"/>
  <c r="T75" i="1"/>
  <c r="U75" i="1" s="1"/>
  <c r="M77" i="1" l="1"/>
  <c r="T76" i="1"/>
  <c r="U76" i="1" s="1"/>
  <c r="M78" i="1" l="1"/>
  <c r="T77" i="1"/>
  <c r="U77" i="1" s="1"/>
  <c r="M79" i="1" l="1"/>
  <c r="T78" i="1"/>
  <c r="U78" i="1" s="1"/>
  <c r="M80" i="1" l="1"/>
  <c r="T79" i="1"/>
  <c r="U79" i="1" s="1"/>
  <c r="M81" i="1" l="1"/>
  <c r="T80" i="1"/>
  <c r="U80" i="1" s="1"/>
  <c r="M82" i="1" l="1"/>
  <c r="T81" i="1"/>
  <c r="U81" i="1" s="1"/>
  <c r="M83" i="1" l="1"/>
  <c r="T82" i="1"/>
  <c r="U82" i="1" s="1"/>
  <c r="M84" i="1" l="1"/>
  <c r="T83" i="1"/>
  <c r="U83" i="1" s="1"/>
  <c r="M85" i="1" l="1"/>
  <c r="T84" i="1"/>
  <c r="U84" i="1" s="1"/>
  <c r="M86" i="1" l="1"/>
  <c r="T85" i="1"/>
  <c r="U85" i="1" s="1"/>
  <c r="M87" i="1" l="1"/>
  <c r="T86" i="1"/>
  <c r="U86" i="1" s="1"/>
  <c r="M88" i="1" l="1"/>
  <c r="T87" i="1"/>
  <c r="U87" i="1" s="1"/>
  <c r="M89" i="1" l="1"/>
  <c r="T88" i="1"/>
  <c r="U88" i="1" s="1"/>
  <c r="M90" i="1" l="1"/>
  <c r="T89" i="1"/>
  <c r="U89" i="1" s="1"/>
  <c r="M91" i="1" l="1"/>
  <c r="T90" i="1"/>
  <c r="U90" i="1" s="1"/>
  <c r="M92" i="1" l="1"/>
  <c r="T91" i="1"/>
  <c r="U91" i="1" s="1"/>
  <c r="M93" i="1" l="1"/>
  <c r="T92" i="1"/>
  <c r="U92" i="1" s="1"/>
  <c r="M94" i="1" l="1"/>
  <c r="T93" i="1"/>
  <c r="U93" i="1" s="1"/>
  <c r="M95" i="1" l="1"/>
  <c r="T94" i="1"/>
  <c r="U94" i="1" s="1"/>
  <c r="M96" i="1" l="1"/>
  <c r="T95" i="1"/>
  <c r="U95" i="1" s="1"/>
  <c r="M97" i="1" l="1"/>
  <c r="T96" i="1"/>
  <c r="U96" i="1" s="1"/>
  <c r="M98" i="1" l="1"/>
  <c r="T97" i="1"/>
  <c r="U97" i="1" s="1"/>
  <c r="M99" i="1" l="1"/>
  <c r="T98" i="1"/>
  <c r="U98" i="1" s="1"/>
  <c r="M100" i="1" l="1"/>
  <c r="T99" i="1"/>
  <c r="U99" i="1" s="1"/>
  <c r="M101" i="1" l="1"/>
  <c r="T100" i="1"/>
  <c r="U100" i="1" s="1"/>
  <c r="M102" i="1" l="1"/>
  <c r="T101" i="1"/>
  <c r="U101" i="1" s="1"/>
  <c r="T102" i="1" l="1"/>
  <c r="M103" i="1"/>
  <c r="T103" i="1" s="1"/>
  <c r="U103" i="1" l="1"/>
  <c r="U102" i="1"/>
</calcChain>
</file>

<file path=xl/sharedStrings.xml><?xml version="1.0" encoding="utf-8"?>
<sst xmlns="http://schemas.openxmlformats.org/spreadsheetml/2006/main" count="91" uniqueCount="35">
  <si>
    <t>ESP Input</t>
  </si>
  <si>
    <t>DSO Measurements of Input</t>
  </si>
  <si>
    <t>DSO Measurements after V_ref IC</t>
  </si>
  <si>
    <t>Output</t>
  </si>
  <si>
    <t>Error</t>
  </si>
  <si>
    <t>Node 1</t>
  </si>
  <si>
    <t>Node 2</t>
  </si>
  <si>
    <t>Vdc Measurements</t>
  </si>
  <si>
    <t>Node 3</t>
  </si>
  <si>
    <t>Node 4</t>
  </si>
  <si>
    <t>Absoulte Error</t>
  </si>
  <si>
    <t>Percentage Error</t>
  </si>
  <si>
    <t>DutyCycle_Input(%)</t>
  </si>
  <si>
    <t>CH1_Amplitude(V)</t>
  </si>
  <si>
    <t>CH1_Freq(Hz)</t>
  </si>
  <si>
    <r>
      <t>CH1_PosWidth(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s)</t>
    </r>
  </si>
  <si>
    <r>
      <t>CH1_Period(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s)</t>
    </r>
  </si>
  <si>
    <t>CH1_DutyCycle(%)</t>
  </si>
  <si>
    <t>CH1_PosWidth(s)</t>
  </si>
  <si>
    <t>CH1_Period(s)</t>
  </si>
  <si>
    <t>VDC_expected (V)</t>
  </si>
  <si>
    <t>Vdc_error</t>
  </si>
  <si>
    <t>Vdc_expected for 3.24 V</t>
  </si>
  <si>
    <t>VDC_DMM(V)</t>
  </si>
  <si>
    <t>IDC_DMM(µA)</t>
  </si>
  <si>
    <t>Idc (µA)</t>
  </si>
  <si>
    <t>Idc</t>
  </si>
  <si>
    <t>Vdc (A)</t>
  </si>
  <si>
    <t>Vdc</t>
  </si>
  <si>
    <t>Nucleo Input</t>
  </si>
  <si>
    <t> </t>
  </si>
  <si>
    <t>DSO Measurement</t>
  </si>
  <si>
    <t>after V_ref IC</t>
  </si>
  <si>
    <t>CH1_PosWidth(µs)</t>
  </si>
  <si>
    <t>CH1_Period(µs)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</si>
</sst>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6">
    <xf numFmtId="0" fontId="0" fillId="0" borderId="0" xfId="0"/>
    <xf numFmtId="11" fontId="0" fillId="0" borderId="0" xfId="0" applyNumberFormat="1"/>
    <xf numFmtId="2" fontId="0" fillId="0" borderId="0" xfId="0" applyNumberFormat="1" applyAlignment="1">
      <alignment horizontal="right" indent="1"/>
    </xf>
    <xf numFmtId="2" fontId="0" fillId="0" borderId="12" xfId="0" applyNumberFormat="1" applyBorder="1" applyAlignment="1">
      <alignment horizontal="right" indent="1"/>
    </xf>
    <xf numFmtId="2" fontId="0" fillId="0" borderId="14" xfId="0" applyNumberFormat="1" applyBorder="1" applyAlignment="1">
      <alignment horizontal="right" indent="1"/>
    </xf>
    <xf numFmtId="2" fontId="0" fillId="0" borderId="15" xfId="0" applyNumberFormat="1" applyBorder="1" applyAlignment="1">
      <alignment horizontal="right" inden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0" xfId="0" applyBorder="1"/>
    <xf numFmtId="0" fontId="19" fillId="0" borderId="22" xfId="0" applyFont="1" applyBorder="1"/>
    <xf numFmtId="0" fontId="16" fillId="0" borderId="22" xfId="0" applyFont="1" applyBorder="1"/>
    <xf numFmtId="0" fontId="16" fillId="0" borderId="23" xfId="0" applyFont="1" applyBorder="1"/>
    <xf numFmtId="0" fontId="19" fillId="0" borderId="19" xfId="0" applyFont="1" applyBorder="1"/>
    <xf numFmtId="0" fontId="16" fillId="0" borderId="19" xfId="0" applyFont="1" applyBorder="1"/>
    <xf numFmtId="0" fontId="0" fillId="0" borderId="14" xfId="0" applyBorder="1"/>
    <xf numFmtId="0" fontId="0" fillId="0" borderId="15" xfId="0" applyBorder="1"/>
    <xf numFmtId="0" fontId="16" fillId="0" borderId="0" xfId="0" applyFont="1"/>
    <xf numFmtId="0" fontId="19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2" fontId="0" fillId="0" borderId="11" xfId="0" applyNumberFormat="1" applyBorder="1" applyAlignment="1">
      <alignment horizontal="right" indent="1"/>
    </xf>
    <xf numFmtId="0" fontId="19" fillId="0" borderId="13" xfId="0" applyFont="1" applyBorder="1"/>
    <xf numFmtId="0" fontId="19" fillId="0" borderId="24" xfId="0" applyFont="1" applyBorder="1"/>
    <xf numFmtId="0" fontId="19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0" fillId="0" borderId="20" xfId="0" applyBorder="1" applyAlignment="1">
      <alignment horizontal="right" indent="1"/>
    </xf>
    <xf numFmtId="0" fontId="0" fillId="0" borderId="21" xfId="0" applyBorder="1" applyAlignment="1">
      <alignment horizontal="right" indent="1"/>
    </xf>
    <xf numFmtId="2" fontId="0" fillId="0" borderId="13" xfId="0" applyNumberFormat="1" applyBorder="1" applyAlignment="1">
      <alignment horizontal="right" indent="1"/>
    </xf>
    <xf numFmtId="165" fontId="0" fillId="0" borderId="0" xfId="0" applyNumberFormat="1"/>
    <xf numFmtId="166" fontId="0" fillId="0" borderId="0" xfId="0" applyNumberFormat="1" applyAlignment="1">
      <alignment horizontal="right" indent="1"/>
    </xf>
    <xf numFmtId="0" fontId="19" fillId="0" borderId="29" xfId="0" applyFont="1" applyBorder="1"/>
    <xf numFmtId="0" fontId="16" fillId="0" borderId="2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30" xfId="0" applyFont="1" applyBorder="1"/>
    <xf numFmtId="0" fontId="16" fillId="0" borderId="31" xfId="0" applyFont="1" applyBorder="1"/>
    <xf numFmtId="0" fontId="0" fillId="0" borderId="32" xfId="0" applyBorder="1"/>
    <xf numFmtId="2" fontId="0" fillId="0" borderId="33" xfId="0" applyNumberFormat="1" applyBorder="1"/>
    <xf numFmtId="2" fontId="0" fillId="0" borderId="34" xfId="0" applyNumberFormat="1" applyBorder="1"/>
    <xf numFmtId="0" fontId="16" fillId="0" borderId="35" xfId="0" applyFont="1" applyBorder="1"/>
    <xf numFmtId="0" fontId="0" fillId="0" borderId="38" xfId="0" applyBorder="1"/>
    <xf numFmtId="2" fontId="0" fillId="0" borderId="36" xfId="0" applyNumberFormat="1" applyBorder="1" applyAlignment="1">
      <alignment horizontal="right" indent="1"/>
    </xf>
    <xf numFmtId="2" fontId="0" fillId="0" borderId="37" xfId="0" applyNumberFormat="1" applyBorder="1" applyAlignment="1">
      <alignment horizontal="right" indent="1"/>
    </xf>
    <xf numFmtId="0" fontId="0" fillId="0" borderId="21" xfId="0" applyBorder="1"/>
    <xf numFmtId="166" fontId="0" fillId="0" borderId="20" xfId="0" applyNumberFormat="1" applyBorder="1" applyAlignment="1">
      <alignment horizontal="right" indent="1"/>
    </xf>
    <xf numFmtId="166" fontId="0" fillId="0" borderId="21" xfId="0" applyNumberFormat="1" applyBorder="1" applyAlignment="1">
      <alignment horizontal="right" indent="1"/>
    </xf>
    <xf numFmtId="166" fontId="0" fillId="0" borderId="10" xfId="0" applyNumberFormat="1" applyBorder="1" applyAlignment="1">
      <alignment horizontal="left"/>
    </xf>
    <xf numFmtId="0" fontId="16" fillId="0" borderId="24" xfId="0" applyFont="1" applyBorder="1"/>
    <xf numFmtId="164" fontId="0" fillId="0" borderId="12" xfId="0" applyNumberFormat="1" applyBorder="1" applyAlignment="1">
      <alignment horizontal="right" indent="1"/>
    </xf>
    <xf numFmtId="164" fontId="0" fillId="0" borderId="15" xfId="0" applyNumberFormat="1" applyBorder="1" applyAlignment="1">
      <alignment horizontal="right" indent="1"/>
    </xf>
    <xf numFmtId="165" fontId="0" fillId="0" borderId="12" xfId="0" applyNumberFormat="1" applyBorder="1" applyAlignment="1">
      <alignment horizontal="right" indent="1"/>
    </xf>
    <xf numFmtId="165" fontId="0" fillId="0" borderId="15" xfId="0" applyNumberFormat="1" applyBorder="1" applyAlignment="1">
      <alignment horizontal="right" indent="1"/>
    </xf>
    <xf numFmtId="0" fontId="19" fillId="0" borderId="22" xfId="0" applyFont="1" applyBorder="1" applyAlignment="1">
      <alignment horizontal="left" wrapText="1"/>
    </xf>
    <xf numFmtId="0" fontId="19" fillId="0" borderId="16" xfId="0" applyFont="1" applyBorder="1" applyAlignment="1">
      <alignment horizontal="center"/>
    </xf>
    <xf numFmtId="0" fontId="16" fillId="0" borderId="18" xfId="0" applyFont="1" applyBorder="1"/>
    <xf numFmtId="0" fontId="16" fillId="0" borderId="39" xfId="0" applyFont="1" applyBorder="1"/>
    <xf numFmtId="0" fontId="16" fillId="0" borderId="10" xfId="0" applyFont="1" applyBorder="1"/>
    <xf numFmtId="2" fontId="0" fillId="0" borderId="27" xfId="0" applyNumberFormat="1" applyBorder="1" applyAlignment="1">
      <alignment horizontal="right" indent="1"/>
    </xf>
    <xf numFmtId="2" fontId="0" fillId="0" borderId="20" xfId="0" applyNumberFormat="1" applyBorder="1" applyAlignment="1">
      <alignment horizontal="right" indent="1"/>
    </xf>
    <xf numFmtId="2" fontId="0" fillId="0" borderId="21" xfId="0" applyNumberFormat="1" applyBorder="1" applyAlignment="1">
      <alignment horizontal="right" indent="1"/>
    </xf>
    <xf numFmtId="0" fontId="16" fillId="0" borderId="19" xfId="0" applyFont="1" applyBorder="1" applyAlignment="1">
      <alignment horizontal="left" wrapText="1"/>
    </xf>
    <xf numFmtId="0" fontId="0" fillId="0" borderId="13" xfId="0" applyBorder="1"/>
    <xf numFmtId="0" fontId="16" fillId="0" borderId="14" xfId="0" applyFont="1" applyBorder="1"/>
    <xf numFmtId="0" fontId="21" fillId="0" borderId="22" xfId="0" applyFont="1" applyFill="1" applyBorder="1" applyAlignment="1"/>
    <xf numFmtId="0" fontId="20" fillId="0" borderId="22" xfId="0" applyFont="1" applyFill="1" applyBorder="1" applyAlignment="1">
      <alignment wrapText="1"/>
    </xf>
    <xf numFmtId="0" fontId="20" fillId="0" borderId="29" xfId="0" applyFont="1" applyFill="1" applyBorder="1" applyAlignment="1"/>
    <xf numFmtId="0" fontId="21" fillId="0" borderId="35" xfId="0" applyFont="1" applyFill="1" applyBorder="1" applyAlignment="1"/>
    <xf numFmtId="0" fontId="21" fillId="0" borderId="28" xfId="0" applyFont="1" applyFill="1" applyBorder="1" applyAlignment="1"/>
    <xf numFmtId="0" fontId="20" fillId="0" borderId="21" xfId="0" applyFont="1" applyFill="1" applyBorder="1" applyAlignment="1"/>
    <xf numFmtId="0" fontId="21" fillId="0" borderId="14" xfId="0" applyFont="1" applyFill="1" applyBorder="1" applyAlignment="1"/>
    <xf numFmtId="0" fontId="20" fillId="0" borderId="14" xfId="0" applyFont="1" applyFill="1" applyBorder="1" applyAlignment="1"/>
    <xf numFmtId="0" fontId="20" fillId="0" borderId="13" xfId="0" applyFont="1" applyFill="1" applyBorder="1" applyAlignment="1"/>
    <xf numFmtId="0" fontId="21" fillId="0" borderId="21" xfId="0" applyFont="1" applyFill="1" applyBorder="1" applyAlignment="1"/>
    <xf numFmtId="0" fontId="21" fillId="0" borderId="14" xfId="0" applyFont="1" applyFill="1" applyBorder="1" applyAlignment="1">
      <alignment wrapText="1"/>
    </xf>
    <xf numFmtId="0" fontId="21" fillId="0" borderId="31" xfId="0" applyFont="1" applyFill="1" applyBorder="1" applyAlignment="1"/>
    <xf numFmtId="0" fontId="21" fillId="0" borderId="40" xfId="0" applyFont="1" applyFill="1" applyBorder="1" applyAlignment="1"/>
    <xf numFmtId="0" fontId="21" fillId="0" borderId="41" xfId="0" applyFont="1" applyFill="1" applyBorder="1" applyAlignment="1"/>
    <xf numFmtId="0" fontId="22" fillId="0" borderId="21" xfId="0" applyFont="1" applyFill="1" applyBorder="1" applyAlignment="1"/>
    <xf numFmtId="0" fontId="22" fillId="0" borderId="14" xfId="0" applyFont="1" applyFill="1" applyBorder="1" applyAlignment="1"/>
    <xf numFmtId="0" fontId="22" fillId="0" borderId="15" xfId="0" applyFont="1" applyFill="1" applyBorder="1" applyAlignment="1"/>
    <xf numFmtId="0" fontId="22" fillId="0" borderId="34" xfId="0" applyFont="1" applyFill="1" applyBorder="1" applyAlignment="1"/>
    <xf numFmtId="0" fontId="22" fillId="0" borderId="20" xfId="0" applyFont="1" applyFill="1" applyBorder="1" applyAlignment="1"/>
    <xf numFmtId="0" fontId="22" fillId="0" borderId="0" xfId="0" applyFont="1" applyFill="1" applyBorder="1" applyAlignment="1"/>
    <xf numFmtId="0" fontId="22" fillId="0" borderId="12" xfId="0" applyFont="1" applyFill="1" applyBorder="1" applyAlignment="1"/>
    <xf numFmtId="0" fontId="22" fillId="0" borderId="42" xfId="0" applyFont="1" applyFill="1" applyBorder="1" applyAlignment="1"/>
    <xf numFmtId="0" fontId="22" fillId="0" borderId="43" xfId="0" applyFont="1" applyFill="1" applyBorder="1" applyAlignment="1"/>
    <xf numFmtId="0" fontId="20" fillId="0" borderId="14" xfId="0" applyFont="1" applyFill="1" applyBorder="1" applyAlignment="1">
      <alignment wrapText="1"/>
    </xf>
    <xf numFmtId="0" fontId="22" fillId="0" borderId="14" xfId="0" applyFont="1" applyFill="1" applyBorder="1" applyAlignment="1">
      <alignment wrapText="1"/>
    </xf>
    <xf numFmtId="0" fontId="22" fillId="0" borderId="0" xfId="0" applyFont="1" applyFill="1" applyBorder="1" applyAlignment="1">
      <alignment wrapText="1"/>
    </xf>
    <xf numFmtId="0" fontId="20" fillId="0" borderId="45" xfId="0" applyFont="1" applyFill="1" applyBorder="1" applyAlignment="1"/>
    <xf numFmtId="0" fontId="21" fillId="0" borderId="46" xfId="0" applyFont="1" applyFill="1" applyBorder="1" applyAlignment="1"/>
    <xf numFmtId="0" fontId="21" fillId="0" borderId="45" xfId="0" applyFont="1" applyFill="1" applyBorder="1" applyAlignment="1"/>
    <xf numFmtId="0" fontId="21" fillId="0" borderId="23" xfId="0" applyFont="1" applyFill="1" applyBorder="1" applyAlignment="1"/>
    <xf numFmtId="0" fontId="20" fillId="0" borderId="47" xfId="0" applyFont="1" applyFill="1" applyBorder="1" applyAlignment="1"/>
    <xf numFmtId="0" fontId="20" fillId="0" borderId="44" xfId="0" applyFont="1" applyFill="1" applyBorder="1" applyAlignment="1">
      <alignment wrapText="1"/>
    </xf>
    <xf numFmtId="0" fontId="23" fillId="0" borderId="4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- Absolute</a:t>
            </a:r>
            <a:r>
              <a:rPr lang="en-IN" baseline="0"/>
              <a:t> Error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esp!$R$5:$R$103</c:f>
              <c:numCache>
                <c:formatCode>0.00</c:formatCode>
                <c:ptCount val="99"/>
                <c:pt idx="0">
                  <c:v>2.5486068999999993</c:v>
                </c:pt>
                <c:pt idx="1">
                  <c:v>2.4524626699999992</c:v>
                </c:pt>
                <c:pt idx="2">
                  <c:v>2.5253234300000003</c:v>
                </c:pt>
                <c:pt idx="3">
                  <c:v>2.4684885499999965</c:v>
                </c:pt>
                <c:pt idx="4">
                  <c:v>2.4655744200000029</c:v>
                </c:pt>
                <c:pt idx="5">
                  <c:v>2.4915678500000027</c:v>
                </c:pt>
                <c:pt idx="6">
                  <c:v>2.4610553699999969</c:v>
                </c:pt>
                <c:pt idx="7">
                  <c:v>2.4031828799999886</c:v>
                </c:pt>
                <c:pt idx="8">
                  <c:v>2.3941941500000041</c:v>
                </c:pt>
                <c:pt idx="9">
                  <c:v>2.3950950000009925</c:v>
                </c:pt>
                <c:pt idx="10">
                  <c:v>2.371520900001002</c:v>
                </c:pt>
                <c:pt idx="11">
                  <c:v>2.3604239999999947</c:v>
                </c:pt>
                <c:pt idx="12">
                  <c:v>2.3155278000000123</c:v>
                </c:pt>
                <c:pt idx="13">
                  <c:v>2.3151298999999881</c:v>
                </c:pt>
                <c:pt idx="14">
                  <c:v>2.2730653000000132</c:v>
                </c:pt>
                <c:pt idx="15">
                  <c:v>2.2322368000000097</c:v>
                </c:pt>
                <c:pt idx="16">
                  <c:v>2.2574156999999957</c:v>
                </c:pt>
                <c:pt idx="17">
                  <c:v>2.179139100000981</c:v>
                </c:pt>
                <c:pt idx="18">
                  <c:v>2.12946629999999</c:v>
                </c:pt>
                <c:pt idx="19">
                  <c:v>2.159325100000018</c:v>
                </c:pt>
                <c:pt idx="20">
                  <c:v>2.1943904000009979</c:v>
                </c:pt>
                <c:pt idx="21">
                  <c:v>2.0860297000000116</c:v>
                </c:pt>
                <c:pt idx="22">
                  <c:v>1.9770876000000044</c:v>
                </c:pt>
                <c:pt idx="23">
                  <c:v>2.0424642000000119</c:v>
                </c:pt>
                <c:pt idx="24">
                  <c:v>1.931084100000021</c:v>
                </c:pt>
                <c:pt idx="25">
                  <c:v>1.9566065000000208</c:v>
                </c:pt>
                <c:pt idx="26">
                  <c:v>1.9081052999999883</c:v>
                </c:pt>
                <c:pt idx="27">
                  <c:v>1.8680911000000151</c:v>
                </c:pt>
                <c:pt idx="28">
                  <c:v>1.7980009000000337</c:v>
                </c:pt>
                <c:pt idx="29">
                  <c:v>1.7446529000000055</c:v>
                </c:pt>
                <c:pt idx="30">
                  <c:v>1.6533575999999925</c:v>
                </c:pt>
                <c:pt idx="31">
                  <c:v>1.6622772000010286</c:v>
                </c:pt>
                <c:pt idx="32">
                  <c:v>1.6549052999999958</c:v>
                </c:pt>
                <c:pt idx="33">
                  <c:v>1.6456845000009821</c:v>
                </c:pt>
                <c:pt idx="34">
                  <c:v>1.5788450000000012</c:v>
                </c:pt>
                <c:pt idx="35">
                  <c:v>1.5136674000009975</c:v>
                </c:pt>
                <c:pt idx="36">
                  <c:v>1.4463573000000451</c:v>
                </c:pt>
                <c:pt idx="37">
                  <c:v>1.4358717000010301</c:v>
                </c:pt>
                <c:pt idx="38">
                  <c:v>1.4337706000000026</c:v>
                </c:pt>
                <c:pt idx="39">
                  <c:v>1.3365819999999644</c:v>
                </c:pt>
                <c:pt idx="40">
                  <c:v>1.2163585000000126</c:v>
                </c:pt>
                <c:pt idx="41">
                  <c:v>1.2675631999999837</c:v>
                </c:pt>
                <c:pt idx="42">
                  <c:v>1.2047458000009783</c:v>
                </c:pt>
                <c:pt idx="43">
                  <c:v>1.1776712000009866</c:v>
                </c:pt>
                <c:pt idx="44">
                  <c:v>1.1563474000000156</c:v>
                </c:pt>
                <c:pt idx="45">
                  <c:v>1.014255100000014</c:v>
                </c:pt>
                <c:pt idx="46">
                  <c:v>1.0357341000000133</c:v>
                </c:pt>
                <c:pt idx="47">
                  <c:v>0.95189090000098986</c:v>
                </c:pt>
                <c:pt idx="48">
                  <c:v>0.92446530000000848</c:v>
                </c:pt>
                <c:pt idx="49">
                  <c:v>0.77405530000100953</c:v>
                </c:pt>
                <c:pt idx="50">
                  <c:v>0.80479520000000093</c:v>
                </c:pt>
                <c:pt idx="51">
                  <c:v>0.7327356000000691</c:v>
                </c:pt>
                <c:pt idx="52">
                  <c:v>0.73653409999997166</c:v>
                </c:pt>
                <c:pt idx="53">
                  <c:v>0.62653239999997368</c:v>
                </c:pt>
                <c:pt idx="54">
                  <c:v>0.59440800000106719</c:v>
                </c:pt>
                <c:pt idx="55">
                  <c:v>0.53631710000001931</c:v>
                </c:pt>
                <c:pt idx="56">
                  <c:v>0.46386740000002646</c:v>
                </c:pt>
                <c:pt idx="57">
                  <c:v>0.38171999999997297</c:v>
                </c:pt>
                <c:pt idx="58">
                  <c:v>0.3007118000009541</c:v>
                </c:pt>
                <c:pt idx="59">
                  <c:v>0.23757249999994201</c:v>
                </c:pt>
                <c:pt idx="60">
                  <c:v>0.14499720000003435</c:v>
                </c:pt>
                <c:pt idx="61">
                  <c:v>0.12153490000093825</c:v>
                </c:pt>
                <c:pt idx="62">
                  <c:v>2.9057500000021719E-2</c:v>
                </c:pt>
                <c:pt idx="63">
                  <c:v>3.1648899999936475E-2</c:v>
                </c:pt>
                <c:pt idx="64">
                  <c:v>8.2505999999057167E-2</c:v>
                </c:pt>
                <c:pt idx="65">
                  <c:v>0.17008819999909974</c:v>
                </c:pt>
                <c:pt idx="66">
                  <c:v>0.22182099999997718</c:v>
                </c:pt>
                <c:pt idx="67">
                  <c:v>0.35447179999994205</c:v>
                </c:pt>
                <c:pt idx="68">
                  <c:v>0.43927919999998721</c:v>
                </c:pt>
                <c:pt idx="69">
                  <c:v>0.52016380000009121</c:v>
                </c:pt>
                <c:pt idx="70">
                  <c:v>0.57821079999996527</c:v>
                </c:pt>
                <c:pt idx="71">
                  <c:v>0.68810680000001412</c:v>
                </c:pt>
                <c:pt idx="72">
                  <c:v>0.79400140000007013</c:v>
                </c:pt>
                <c:pt idx="73">
                  <c:v>0.86639130000003206</c:v>
                </c:pt>
                <c:pt idx="74">
                  <c:v>0.89494780000006813</c:v>
                </c:pt>
                <c:pt idx="75">
                  <c:v>0.95339500000000044</c:v>
                </c:pt>
                <c:pt idx="76">
                  <c:v>1.0568832999999813</c:v>
                </c:pt>
                <c:pt idx="77">
                  <c:v>1.1335411999999678</c:v>
                </c:pt>
                <c:pt idx="78">
                  <c:v>1.2356898999998975</c:v>
                </c:pt>
                <c:pt idx="79">
                  <c:v>1.3296587999989242</c:v>
                </c:pt>
                <c:pt idx="80">
                  <c:v>1.3689908999990621</c:v>
                </c:pt>
                <c:pt idx="81">
                  <c:v>1.5357150999999476</c:v>
                </c:pt>
                <c:pt idx="82">
                  <c:v>1.6029036999999562</c:v>
                </c:pt>
                <c:pt idx="83">
                  <c:v>1.6511102999990044</c:v>
                </c:pt>
                <c:pt idx="84">
                  <c:v>1.7105050999999776</c:v>
                </c:pt>
                <c:pt idx="85">
                  <c:v>1.8518182000000252</c:v>
                </c:pt>
                <c:pt idx="86">
                  <c:v>1.9051691999990226</c:v>
                </c:pt>
                <c:pt idx="87">
                  <c:v>1.9836695999999847</c:v>
                </c:pt>
                <c:pt idx="88">
                  <c:v>2.1194421000000148</c:v>
                </c:pt>
                <c:pt idx="89">
                  <c:v>2.1434684000000743</c:v>
                </c:pt>
                <c:pt idx="90">
                  <c:v>2.2013235999999097</c:v>
                </c:pt>
                <c:pt idx="91">
                  <c:v>2.301864999999907</c:v>
                </c:pt>
                <c:pt idx="92">
                  <c:v>2.395514699999012</c:v>
                </c:pt>
                <c:pt idx="93">
                  <c:v>2.4864279999990231</c:v>
                </c:pt>
                <c:pt idx="94">
                  <c:v>2.537814400000002</c:v>
                </c:pt>
                <c:pt idx="95">
                  <c:v>2.6701287999999295</c:v>
                </c:pt>
                <c:pt idx="96">
                  <c:v>2.7395314999989751</c:v>
                </c:pt>
                <c:pt idx="97">
                  <c:v>2.8104177000000163</c:v>
                </c:pt>
                <c:pt idx="98">
                  <c:v>2.9142012999999451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F-4BF0-8E7E-87E1886F1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29487"/>
        <c:axId val="413829967"/>
      </c:lineChart>
      <c:catAx>
        <c:axId val="41382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9967"/>
        <c:crosses val="autoZero"/>
        <c:auto val="1"/>
        <c:lblAlgn val="ctr"/>
        <c:lblOffset val="100"/>
        <c:noMultiLvlLbl val="0"/>
      </c:catAx>
      <c:valAx>
        <c:axId val="41382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- Absolute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esp!$T$5:$T$103</c:f>
              <c:numCache>
                <c:formatCode>0.000</c:formatCode>
                <c:ptCount val="99"/>
                <c:pt idx="0">
                  <c:v>1.0662602849999897E-2</c:v>
                </c:pt>
                <c:pt idx="1">
                  <c:v>1.0516950070000003E-2</c:v>
                </c:pt>
                <c:pt idx="2">
                  <c:v>1.0429767699998996E-2</c:v>
                </c:pt>
                <c:pt idx="3">
                  <c:v>1.0290306499999985E-2</c:v>
                </c:pt>
                <c:pt idx="4">
                  <c:v>1.0184903899999986E-2</c:v>
                </c:pt>
                <c:pt idx="5">
                  <c:v>1.0055252999999986E-2</c:v>
                </c:pt>
                <c:pt idx="6">
                  <c:v>9.9620680999989997E-3</c:v>
                </c:pt>
                <c:pt idx="7">
                  <c:v>9.8308710999999716E-3</c:v>
                </c:pt>
                <c:pt idx="8">
                  <c:v>9.6896437999999807E-3</c:v>
                </c:pt>
                <c:pt idx="9">
                  <c:v>9.5450281999999165E-3</c:v>
                </c:pt>
                <c:pt idx="10">
                  <c:v>9.3973489999998883E-3</c:v>
                </c:pt>
                <c:pt idx="11">
                  <c:v>9.2888494999998628E-3</c:v>
                </c:pt>
                <c:pt idx="12">
                  <c:v>9.13091529999982E-3</c:v>
                </c:pt>
                <c:pt idx="13">
                  <c:v>8.9771875999998252E-3</c:v>
                </c:pt>
                <c:pt idx="14">
                  <c:v>8.8144992999997784E-3</c:v>
                </c:pt>
                <c:pt idx="15">
                  <c:v>8.690501699999742E-3</c:v>
                </c:pt>
                <c:pt idx="16">
                  <c:v>8.5188492999996868E-3</c:v>
                </c:pt>
                <c:pt idx="17">
                  <c:v>8.346214599999735E-3</c:v>
                </c:pt>
                <c:pt idx="18">
                  <c:v>8.1700840999996416E-3</c:v>
                </c:pt>
                <c:pt idx="19">
                  <c:v>8.0351126999986811E-3</c:v>
                </c:pt>
                <c:pt idx="20">
                  <c:v>7.0333357999986523E-3</c:v>
                </c:pt>
                <c:pt idx="21">
                  <c:v>6.8509233999995978E-3</c:v>
                </c:pt>
                <c:pt idx="22">
                  <c:v>6.7019712999994985E-3</c:v>
                </c:pt>
                <c:pt idx="23">
                  <c:v>6.5041854999995374E-3</c:v>
                </c:pt>
                <c:pt idx="24">
                  <c:v>6.3140408999995401E-3</c:v>
                </c:pt>
                <c:pt idx="25">
                  <c:v>6.12097439999848E-3</c:v>
                </c:pt>
                <c:pt idx="26">
                  <c:v>5.9650098999994849E-3</c:v>
                </c:pt>
                <c:pt idx="27">
                  <c:v>5.765889299998439E-3</c:v>
                </c:pt>
                <c:pt idx="28">
                  <c:v>5.5549225999993457E-3</c:v>
                </c:pt>
                <c:pt idx="29">
                  <c:v>5.3633893999983639E-3</c:v>
                </c:pt>
                <c:pt idx="30">
                  <c:v>5.1586129999994235E-3</c:v>
                </c:pt>
                <c:pt idx="31">
                  <c:v>4.9844999999995032E-3</c:v>
                </c:pt>
                <c:pt idx="32">
                  <c:v>4.8306179999995091E-3</c:v>
                </c:pt>
                <c:pt idx="33">
                  <c:v>4.5545159999995644E-3</c:v>
                </c:pt>
                <c:pt idx="34">
                  <c:v>4.3491209999997338E-3</c:v>
                </c:pt>
                <c:pt idx="35">
                  <c:v>4.158115999999934E-3</c:v>
                </c:pt>
                <c:pt idx="36">
                  <c:v>3.9603569999999699E-3</c:v>
                </c:pt>
                <c:pt idx="37">
                  <c:v>3.8048630000000472E-3</c:v>
                </c:pt>
                <c:pt idx="38">
                  <c:v>3.5044770000001169E-3</c:v>
                </c:pt>
                <c:pt idx="39">
                  <c:v>3.3401770000001108E-3</c:v>
                </c:pt>
                <c:pt idx="40">
                  <c:v>2.3379590000003336E-3</c:v>
                </c:pt>
                <c:pt idx="41">
                  <c:v>2.1165149999902155E-3</c:v>
                </c:pt>
                <c:pt idx="42">
                  <c:v>1.8914289999905076E-3</c:v>
                </c:pt>
                <c:pt idx="43">
                  <c:v>1.8020290000004824E-3</c:v>
                </c:pt>
                <c:pt idx="44">
                  <c:v>1.3989930000004591E-3</c:v>
                </c:pt>
                <c:pt idx="45">
                  <c:v>1.1833760000006244E-3</c:v>
                </c:pt>
                <c:pt idx="46">
                  <c:v>1.0231610000006608E-3</c:v>
                </c:pt>
                <c:pt idx="47">
                  <c:v>7.8633400000072129E-4</c:v>
                </c:pt>
                <c:pt idx="48">
                  <c:v>5.4081999999100461E-4</c:v>
                </c:pt>
                <c:pt idx="49">
                  <c:v>2.4574700000101757E-4</c:v>
                </c:pt>
                <c:pt idx="50">
                  <c:v>1.4227000000976986E-5</c:v>
                </c:pt>
                <c:pt idx="51">
                  <c:v>2.1814699999889164E-4</c:v>
                </c:pt>
                <c:pt idx="52">
                  <c:v>4.3797300000880668E-4</c:v>
                </c:pt>
                <c:pt idx="53">
                  <c:v>5.8220099999872765E-4</c:v>
                </c:pt>
                <c:pt idx="54">
                  <c:v>9.498139999986055E-4</c:v>
                </c:pt>
                <c:pt idx="55">
                  <c:v>1.1873950000085287E-3</c:v>
                </c:pt>
                <c:pt idx="56">
                  <c:v>1.4927199999985596E-3</c:v>
                </c:pt>
                <c:pt idx="57">
                  <c:v>1.7397210000082985E-3</c:v>
                </c:pt>
                <c:pt idx="58">
                  <c:v>2.049843999998302E-3</c:v>
                </c:pt>
                <c:pt idx="59">
                  <c:v>2.3110659999983074E-3</c:v>
                </c:pt>
                <c:pt idx="60">
                  <c:v>3.4949679999982664E-3</c:v>
                </c:pt>
                <c:pt idx="61">
                  <c:v>3.7727459999978841E-3</c:v>
                </c:pt>
                <c:pt idx="62">
                  <c:v>4.102921999998177E-3</c:v>
                </c:pt>
                <c:pt idx="63">
                  <c:v>4.4081079999980233E-3</c:v>
                </c:pt>
                <c:pt idx="64">
                  <c:v>4.6943089999977872E-3</c:v>
                </c:pt>
                <c:pt idx="65">
                  <c:v>5.0365679999977431E-3</c:v>
                </c:pt>
                <c:pt idx="66">
                  <c:v>5.3468529999975978E-3</c:v>
                </c:pt>
                <c:pt idx="67">
                  <c:v>5.703897999997487E-3</c:v>
                </c:pt>
                <c:pt idx="68">
                  <c:v>6.0294629999972926E-3</c:v>
                </c:pt>
                <c:pt idx="69">
                  <c:v>6.3145269999975717E-3</c:v>
                </c:pt>
                <c:pt idx="70">
                  <c:v>6.6847660000073361E-3</c:v>
                </c:pt>
                <c:pt idx="71">
                  <c:v>6.9384409999972974E-3</c:v>
                </c:pt>
                <c:pt idx="72">
                  <c:v>7.3112119999971803E-3</c:v>
                </c:pt>
                <c:pt idx="73">
                  <c:v>7.6909409999972311E-3</c:v>
                </c:pt>
                <c:pt idx="74">
                  <c:v>8.0264329999968353E-3</c:v>
                </c:pt>
                <c:pt idx="75">
                  <c:v>8.3463679999971063E-3</c:v>
                </c:pt>
                <c:pt idx="76">
                  <c:v>8.6314419999968806E-3</c:v>
                </c:pt>
                <c:pt idx="77">
                  <c:v>9.0363159999968801E-3</c:v>
                </c:pt>
                <c:pt idx="78">
                  <c:v>9.3895369999965617E-3</c:v>
                </c:pt>
                <c:pt idx="79">
                  <c:v>9.6660139999964478E-3</c:v>
                </c:pt>
                <c:pt idx="80">
                  <c:v>1.0776336999996694E-2</c:v>
                </c:pt>
                <c:pt idx="81">
                  <c:v>1.1204872999996507E-2</c:v>
                </c:pt>
                <c:pt idx="82">
                  <c:v>1.1468895999996231E-2</c:v>
                </c:pt>
                <c:pt idx="83">
                  <c:v>1.1854189999996212E-2</c:v>
                </c:pt>
                <c:pt idx="84">
                  <c:v>1.2198180999996033E-2</c:v>
                </c:pt>
                <c:pt idx="85">
                  <c:v>1.2532337999996201E-2</c:v>
                </c:pt>
                <c:pt idx="86">
                  <c:v>1.28723759999958E-2</c:v>
                </c:pt>
                <c:pt idx="87">
                  <c:v>1.3201817999995757E-2</c:v>
                </c:pt>
                <c:pt idx="88">
                  <c:v>1.3551221999995811E-2</c:v>
                </c:pt>
                <c:pt idx="89">
                  <c:v>1.390665399999591E-2</c:v>
                </c:pt>
                <c:pt idx="90">
                  <c:v>1.4243638000005721E-2</c:v>
                </c:pt>
                <c:pt idx="91">
                  <c:v>1.4575090999995766E-2</c:v>
                </c:pt>
                <c:pt idx="92">
                  <c:v>1.4906720999995571E-2</c:v>
                </c:pt>
                <c:pt idx="93">
                  <c:v>1.527261099999544E-2</c:v>
                </c:pt>
                <c:pt idx="94">
                  <c:v>1.5603646999995391E-2</c:v>
                </c:pt>
                <c:pt idx="95">
                  <c:v>1.5921367999995439E-2</c:v>
                </c:pt>
                <c:pt idx="96">
                  <c:v>1.6287922999995263E-2</c:v>
                </c:pt>
                <c:pt idx="97">
                  <c:v>1.6471465999995161E-2</c:v>
                </c:pt>
                <c:pt idx="98">
                  <c:v>1.6934954999995089E-2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6-4A20-BAEA-7DC218C8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004607"/>
        <c:axId val="426006527"/>
      </c:lineChart>
      <c:catAx>
        <c:axId val="426004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06527"/>
        <c:crosses val="autoZero"/>
        <c:auto val="1"/>
        <c:lblAlgn val="ctr"/>
        <c:lblOffset val="100"/>
        <c:noMultiLvlLbl val="0"/>
      </c:catAx>
      <c:valAx>
        <c:axId val="4260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0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129540</xdr:colOff>
      <xdr:row>3</xdr:row>
      <xdr:rowOff>11430</xdr:rowOff>
    </xdr:from>
    <xdr:to>
      <xdr:col>28</xdr:col>
      <xdr:colOff>434340</xdr:colOff>
      <xdr:row>18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27C0DE-6A83-2857-16B0-3556C1490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129540</xdr:colOff>
      <xdr:row>18</xdr:row>
      <xdr:rowOff>95250</xdr:rowOff>
    </xdr:from>
    <xdr:to>
      <xdr:col>28</xdr:col>
      <xdr:colOff>434340</xdr:colOff>
      <xdr:row>33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84E5A86-62C1-006D-1937-111B4B0A8A31}"/>
            </a:ext>
            <a:ext uri="{147F2762-F138-4A5C-976F-8EAC2B608ADB}">
              <a16:predDERef xmlns:a16="http://schemas.microsoft.com/office/drawing/2014/main" pred="{9027C0DE-6A83-2857-16B0-3556C1490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3</xdr:row>
      <xdr:rowOff>0</xdr:rowOff>
    </xdr:from>
    <xdr:to>
      <xdr:col>27</xdr:col>
      <xdr:colOff>304800</xdr:colOff>
      <xdr:row>17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649F0-BAEE-DA92-B1A1-ACFC769D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50" y="752475"/>
          <a:ext cx="4572000" cy="271462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27</xdr:col>
      <xdr:colOff>304800</xdr:colOff>
      <xdr:row>33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2D9435-2F66-2632-AAEF-6EA85FADC1AF}"/>
            </a:ext>
            <a:ext uri="{147F2762-F138-4A5C-976F-8EAC2B608ADB}">
              <a16:predDERef xmlns:a16="http://schemas.microsoft.com/office/drawing/2014/main" pred="{A6F649F0-BAEE-DA92-B1A1-ACFC769D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88250" y="3800475"/>
          <a:ext cx="4572000" cy="271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5DC9-4B49-4AC4-8C97-A7168389B1DA}">
  <dimension ref="B1:W104"/>
  <sheetViews>
    <sheetView zoomScale="86" workbookViewId="0">
      <selection activeCell="O16" sqref="O16"/>
    </sheetView>
  </sheetViews>
  <sheetFormatPr defaultRowHeight="14.45"/>
  <cols>
    <col min="2" max="2" width="17" bestFit="1" customWidth="1"/>
    <col min="3" max="3" width="15.85546875" bestFit="1" customWidth="1"/>
    <col min="4" max="4" width="13.28515625" customWidth="1"/>
    <col min="5" max="5" width="16.140625" customWidth="1"/>
    <col min="6" max="6" width="13.5703125" customWidth="1"/>
    <col min="7" max="7" width="16.7109375" bestFit="1" customWidth="1"/>
    <col min="8" max="8" width="15.85546875" bestFit="1" customWidth="1"/>
    <col min="9" max="9" width="13" customWidth="1"/>
    <col min="10" max="11" width="15.7109375" bestFit="1" customWidth="1"/>
    <col min="12" max="12" width="17.7109375" bestFit="1" customWidth="1"/>
    <col min="13" max="13" width="15.7109375" bestFit="1" customWidth="1"/>
    <col min="14" max="14" width="9.140625" bestFit="1" customWidth="1"/>
    <col min="15" max="15" width="21.5703125" bestFit="1" customWidth="1"/>
    <col min="16" max="17" width="13.42578125" bestFit="1" customWidth="1"/>
    <col min="18" max="18" width="13.85546875" bestFit="1" customWidth="1"/>
    <col min="19" max="19" width="16" bestFit="1" customWidth="1"/>
    <col min="20" max="20" width="13.42578125" bestFit="1" customWidth="1"/>
    <col min="21" max="21" width="16" bestFit="1" customWidth="1"/>
  </cols>
  <sheetData>
    <row r="1" spans="2:23" ht="15" thickBot="1"/>
    <row r="2" spans="2:23" ht="18">
      <c r="B2" s="23" t="s">
        <v>0</v>
      </c>
      <c r="C2" s="11"/>
      <c r="D2" s="10" t="s">
        <v>1</v>
      </c>
      <c r="E2" s="11"/>
      <c r="F2" s="11"/>
      <c r="G2" s="11"/>
      <c r="H2" s="22"/>
      <c r="I2" s="10" t="s">
        <v>2</v>
      </c>
      <c r="J2" s="11"/>
      <c r="K2" s="11"/>
      <c r="L2" s="11"/>
      <c r="M2" s="47"/>
      <c r="N2" s="11"/>
      <c r="O2" s="12"/>
      <c r="P2" s="52" t="s">
        <v>3</v>
      </c>
      <c r="Q2" s="11"/>
      <c r="R2" s="30" t="s">
        <v>4</v>
      </c>
      <c r="S2" s="39"/>
      <c r="T2" s="39"/>
      <c r="U2" s="31"/>
      <c r="V2" s="18"/>
      <c r="W2" s="17"/>
    </row>
    <row r="3" spans="2:23" ht="18.600000000000001" thickBot="1">
      <c r="B3" s="24"/>
      <c r="C3" s="14"/>
      <c r="D3" s="13"/>
      <c r="E3" s="14" t="s">
        <v>5</v>
      </c>
      <c r="F3" s="14"/>
      <c r="G3" s="14"/>
      <c r="H3" s="21"/>
      <c r="I3" s="13"/>
      <c r="J3" s="14" t="s">
        <v>6</v>
      </c>
      <c r="K3" s="14"/>
      <c r="L3" s="14"/>
      <c r="M3" s="32" t="s">
        <v>7</v>
      </c>
      <c r="N3" s="62"/>
      <c r="O3" s="33"/>
      <c r="P3" s="60" t="s">
        <v>8</v>
      </c>
      <c r="Q3" s="14" t="s">
        <v>9</v>
      </c>
      <c r="R3" s="35" t="s">
        <v>10</v>
      </c>
      <c r="S3" s="34" t="s">
        <v>11</v>
      </c>
      <c r="T3" s="34" t="s">
        <v>10</v>
      </c>
      <c r="U3" s="55" t="s">
        <v>11</v>
      </c>
      <c r="V3" s="19"/>
      <c r="W3" s="17"/>
    </row>
    <row r="4" spans="2:23" ht="15" thickBot="1">
      <c r="B4" s="9" t="s">
        <v>12</v>
      </c>
      <c r="C4" s="6" t="s">
        <v>13</v>
      </c>
      <c r="D4" s="7" t="s">
        <v>14</v>
      </c>
      <c r="E4" s="7" t="s">
        <v>15</v>
      </c>
      <c r="F4" s="7" t="s">
        <v>16</v>
      </c>
      <c r="G4" s="8" t="s">
        <v>17</v>
      </c>
      <c r="H4" s="6" t="s">
        <v>13</v>
      </c>
      <c r="I4" s="7" t="s">
        <v>14</v>
      </c>
      <c r="J4" s="7" t="s">
        <v>18</v>
      </c>
      <c r="K4" s="7" t="s">
        <v>19</v>
      </c>
      <c r="L4" s="7" t="s">
        <v>17</v>
      </c>
      <c r="M4" s="61" t="s">
        <v>20</v>
      </c>
      <c r="N4" s="15" t="s">
        <v>21</v>
      </c>
      <c r="O4" s="16" t="s">
        <v>22</v>
      </c>
      <c r="P4" s="8" t="s">
        <v>23</v>
      </c>
      <c r="Q4" s="7" t="s">
        <v>24</v>
      </c>
      <c r="R4" s="36" t="s">
        <v>25</v>
      </c>
      <c r="S4" s="40" t="s">
        <v>26</v>
      </c>
      <c r="T4" s="46" t="s">
        <v>27</v>
      </c>
      <c r="U4" s="8" t="s">
        <v>28</v>
      </c>
    </row>
    <row r="5" spans="2:23">
      <c r="B5" s="25">
        <v>1</v>
      </c>
      <c r="C5" s="20">
        <v>3.6760000000000002</v>
      </c>
      <c r="D5" s="2">
        <v>1000.20810999999</v>
      </c>
      <c r="E5" s="2">
        <v>10.64288</v>
      </c>
      <c r="F5" s="2">
        <f>(1/D5)*1000000</f>
        <v>999.79193330077078</v>
      </c>
      <c r="G5" s="3">
        <f>(E5/F5)*100</f>
        <v>1.0645094889756692</v>
      </c>
      <c r="H5" s="20">
        <v>3.4279999999999902</v>
      </c>
      <c r="I5" s="2">
        <v>1000.16939</v>
      </c>
      <c r="J5" s="2">
        <v>10.708030000000001</v>
      </c>
      <c r="K5" s="2">
        <f>1/I5*1000000</f>
        <v>999.83063868811257</v>
      </c>
      <c r="L5" s="2">
        <f>J5/I5*100</f>
        <v>1.070621647399147</v>
      </c>
      <c r="M5" s="20">
        <f>0.033</f>
        <v>3.3000000000000002E-2</v>
      </c>
      <c r="N5" s="2">
        <f>P5-O5</f>
        <v>1.1246302849999897E-2</v>
      </c>
      <c r="O5" s="50">
        <v>3.2416300000000002E-2</v>
      </c>
      <c r="P5" s="48">
        <v>4.3662602849999899E-2</v>
      </c>
      <c r="Q5" s="2">
        <v>13.2566369</v>
      </c>
      <c r="R5" s="37">
        <f>ABS(J5-Q5)</f>
        <v>2.5486068999999993</v>
      </c>
      <c r="S5" s="41">
        <f>R5/Q5*100</f>
        <v>19.225139220641996</v>
      </c>
      <c r="T5" s="44">
        <f>ABS(M5-P5)</f>
        <v>1.0662602849999897E-2</v>
      </c>
      <c r="U5" s="3">
        <f>T5/M5*100</f>
        <v>32.310917727272411</v>
      </c>
    </row>
    <row r="6" spans="2:23">
      <c r="B6" s="25">
        <v>2</v>
      </c>
      <c r="C6" s="20">
        <v>3.5840000000000001</v>
      </c>
      <c r="D6" s="2">
        <v>1000.2495</v>
      </c>
      <c r="E6" s="2">
        <v>20.733419999999999</v>
      </c>
      <c r="F6" s="2">
        <f t="shared" ref="F6:F69" si="0">(1/D6)*1000000</f>
        <v>999.75056223472257</v>
      </c>
      <c r="G6" s="3">
        <f t="shared" ref="G6:G69" si="1">(E6/F6)*100</f>
        <v>2.0738592988289994</v>
      </c>
      <c r="H6" s="20">
        <v>3.4319999999999999</v>
      </c>
      <c r="I6" s="2">
        <v>1000.25938</v>
      </c>
      <c r="J6" s="2">
        <v>20.76623</v>
      </c>
      <c r="K6" s="2">
        <f t="shared" ref="K6:K69" si="2">1/I6*1000000</f>
        <v>999.74068726053849</v>
      </c>
      <c r="L6" s="2">
        <f t="shared" ref="L6:L69" si="3">J6/I6*100</f>
        <v>2.0760845052010408</v>
      </c>
      <c r="M6" s="20">
        <f>M5+0.033</f>
        <v>6.6000000000000003E-2</v>
      </c>
      <c r="N6" s="2">
        <f t="shared" ref="N6:N69" si="4">P6-O6</f>
        <v>1.170055007000001E-2</v>
      </c>
      <c r="O6" s="50">
        <v>6.4816399999999996E-2</v>
      </c>
      <c r="P6" s="48">
        <v>7.6516950070000006E-2</v>
      </c>
      <c r="Q6" s="2">
        <v>23.218692669999999</v>
      </c>
      <c r="R6" s="37">
        <f t="shared" ref="R6:R69" si="5">ABS(J6-Q6)</f>
        <v>2.4524626699999992</v>
      </c>
      <c r="S6" s="41">
        <f t="shared" ref="S6:S69" si="6">R6/Q6*100</f>
        <v>10.562449423212936</v>
      </c>
      <c r="T6" s="44">
        <f t="shared" ref="T6:T69" si="7">ABS(M6-P6)</f>
        <v>1.0516950070000003E-2</v>
      </c>
      <c r="U6" s="3">
        <f t="shared" ref="U6:U69" si="8">T6/M6*100</f>
        <v>15.934772833333339</v>
      </c>
    </row>
    <row r="7" spans="2:23">
      <c r="B7" s="25">
        <v>3</v>
      </c>
      <c r="C7" s="20">
        <v>3.9039999999999999</v>
      </c>
      <c r="D7" s="2">
        <v>1000.20810999999</v>
      </c>
      <c r="E7" s="2">
        <v>30.8202099999999</v>
      </c>
      <c r="F7" s="2">
        <f t="shared" si="0"/>
        <v>999.79193330077078</v>
      </c>
      <c r="G7" s="3">
        <f t="shared" si="1"/>
        <v>3.0826623993902689</v>
      </c>
      <c r="H7" s="20">
        <v>3.4279999999999902</v>
      </c>
      <c r="I7" s="2">
        <v>1000.19</v>
      </c>
      <c r="J7" s="2">
        <v>30.67821</v>
      </c>
      <c r="K7" s="2">
        <f t="shared" si="2"/>
        <v>999.81003609314223</v>
      </c>
      <c r="L7" s="2">
        <f t="shared" si="3"/>
        <v>3.0672382247373</v>
      </c>
      <c r="M7" s="20">
        <f t="shared" ref="M7:M70" si="9">M6+0.033</f>
        <v>9.9000000000000005E-2</v>
      </c>
      <c r="N7" s="2">
        <f t="shared" si="4"/>
        <v>1.2213267699999003E-2</v>
      </c>
      <c r="O7" s="50">
        <v>9.7216499999999997E-2</v>
      </c>
      <c r="P7" s="48">
        <v>0.109429767699999</v>
      </c>
      <c r="Q7" s="2">
        <v>33.20353343</v>
      </c>
      <c r="R7" s="37">
        <f t="shared" si="5"/>
        <v>2.5253234300000003</v>
      </c>
      <c r="S7" s="41">
        <f t="shared" si="6"/>
        <v>7.6055864214689999</v>
      </c>
      <c r="T7" s="44">
        <f t="shared" si="7"/>
        <v>1.0429767699998996E-2</v>
      </c>
      <c r="U7" s="3">
        <f t="shared" si="8"/>
        <v>10.535118888887874</v>
      </c>
    </row>
    <row r="8" spans="2:23">
      <c r="B8" s="25">
        <v>4</v>
      </c>
      <c r="C8" s="20">
        <v>3.8319999999999999</v>
      </c>
      <c r="D8" s="2">
        <v>1000.1990499999901</v>
      </c>
      <c r="E8" s="2">
        <v>40.669529999999902</v>
      </c>
      <c r="F8" s="2">
        <f t="shared" si="0"/>
        <v>999.80098961302747</v>
      </c>
      <c r="G8" s="3">
        <f t="shared" si="1"/>
        <v>4.0677625269946001</v>
      </c>
      <c r="H8" s="20">
        <v>3.3879999999999999</v>
      </c>
      <c r="I8" s="2">
        <v>1000.12999999999</v>
      </c>
      <c r="J8" s="2">
        <v>40.712940000000003</v>
      </c>
      <c r="K8" s="2">
        <f t="shared" si="2"/>
        <v>999.87001689781334</v>
      </c>
      <c r="L8" s="2">
        <f t="shared" si="3"/>
        <v>4.070764800575966</v>
      </c>
      <c r="M8" s="20">
        <f t="shared" si="9"/>
        <v>0.13200000000000001</v>
      </c>
      <c r="N8" s="2">
        <f t="shared" si="4"/>
        <v>1.2673306499999981E-2</v>
      </c>
      <c r="O8" s="50">
        <v>0.12961700000000001</v>
      </c>
      <c r="P8" s="48">
        <v>0.14229030649999999</v>
      </c>
      <c r="Q8" s="2">
        <v>43.18142855</v>
      </c>
      <c r="R8" s="37">
        <f t="shared" si="5"/>
        <v>2.4684885499999965</v>
      </c>
      <c r="S8" s="41">
        <f t="shared" si="6"/>
        <v>5.7165513807439714</v>
      </c>
      <c r="T8" s="44">
        <f t="shared" si="7"/>
        <v>1.0290306499999985E-2</v>
      </c>
      <c r="U8" s="3">
        <f t="shared" si="8"/>
        <v>7.7956867424242304</v>
      </c>
    </row>
    <row r="9" spans="2:23">
      <c r="B9" s="25">
        <v>5</v>
      </c>
      <c r="C9" s="20">
        <v>3.9039999999999999</v>
      </c>
      <c r="D9" s="2">
        <v>1000.27861999999</v>
      </c>
      <c r="E9" s="2">
        <v>50.583939999999899</v>
      </c>
      <c r="F9" s="2">
        <f t="shared" si="0"/>
        <v>999.72145760749129</v>
      </c>
      <c r="G9" s="3">
        <f t="shared" si="1"/>
        <v>5.0598033697362199</v>
      </c>
      <c r="H9" s="20">
        <v>3.24</v>
      </c>
      <c r="I9" s="2">
        <v>1000.27</v>
      </c>
      <c r="J9" s="2">
        <v>50.688749999999999</v>
      </c>
      <c r="K9" s="2">
        <f t="shared" si="2"/>
        <v>999.73007288032238</v>
      </c>
      <c r="L9" s="2">
        <f t="shared" si="3"/>
        <v>5.0675067731712442</v>
      </c>
      <c r="M9" s="20">
        <f t="shared" si="9"/>
        <v>0.16500000000000001</v>
      </c>
      <c r="N9" s="2">
        <f t="shared" si="4"/>
        <v>1.31679039E-2</v>
      </c>
      <c r="O9" s="50">
        <v>0.16201699999999999</v>
      </c>
      <c r="P9" s="48">
        <v>0.17518490389999999</v>
      </c>
      <c r="Q9" s="2">
        <v>53.154324420000002</v>
      </c>
      <c r="R9" s="37">
        <f t="shared" si="5"/>
        <v>2.4655744200000029</v>
      </c>
      <c r="S9" s="41">
        <f t="shared" si="6"/>
        <v>4.6385208483099429</v>
      </c>
      <c r="T9" s="44">
        <f t="shared" si="7"/>
        <v>1.0184903899999986E-2</v>
      </c>
      <c r="U9" s="3">
        <f t="shared" si="8"/>
        <v>6.1726690303030223</v>
      </c>
    </row>
    <row r="10" spans="2:23">
      <c r="B10" s="25">
        <v>6</v>
      </c>
      <c r="C10" s="20">
        <v>3.6560000000000001</v>
      </c>
      <c r="D10" s="2">
        <v>1000.15857999999</v>
      </c>
      <c r="E10" s="2">
        <v>60.695849999999901</v>
      </c>
      <c r="F10" s="2">
        <f t="shared" si="0"/>
        <v>999.84144514363913</v>
      </c>
      <c r="G10" s="3">
        <f t="shared" si="1"/>
        <v>6.0705475147892294</v>
      </c>
      <c r="H10" s="20">
        <v>3.24</v>
      </c>
      <c r="I10" s="2">
        <v>1000.25</v>
      </c>
      <c r="J10" s="2">
        <v>60.633249999999997</v>
      </c>
      <c r="K10" s="2">
        <f t="shared" si="2"/>
        <v>999.75006248437899</v>
      </c>
      <c r="L10" s="2">
        <f t="shared" si="3"/>
        <v>6.0618095476130964</v>
      </c>
      <c r="M10" s="20">
        <f t="shared" si="9"/>
        <v>0.19800000000000001</v>
      </c>
      <c r="N10" s="2">
        <f t="shared" si="4"/>
        <v>1.3638252999999989E-2</v>
      </c>
      <c r="O10" s="50">
        <v>0.19441700000000001</v>
      </c>
      <c r="P10" s="48">
        <v>0.208055253</v>
      </c>
      <c r="Q10" s="2">
        <v>63.124817849999999</v>
      </c>
      <c r="R10" s="37">
        <f t="shared" si="5"/>
        <v>2.4915678500000027</v>
      </c>
      <c r="S10" s="41">
        <f t="shared" si="6"/>
        <v>3.947049567605212</v>
      </c>
      <c r="T10" s="44">
        <f t="shared" si="7"/>
        <v>1.0055252999999986E-2</v>
      </c>
      <c r="U10" s="3">
        <f t="shared" si="8"/>
        <v>5.0784106060605989</v>
      </c>
    </row>
    <row r="11" spans="2:23">
      <c r="B11" s="25">
        <v>7</v>
      </c>
      <c r="C11" s="20">
        <v>3.6560000000000001</v>
      </c>
      <c r="D11" s="2">
        <v>1000.11804</v>
      </c>
      <c r="E11" s="2">
        <v>70.630840000000006</v>
      </c>
      <c r="F11" s="2">
        <f t="shared" si="0"/>
        <v>999.88197393179723</v>
      </c>
      <c r="G11" s="3">
        <f t="shared" si="1"/>
        <v>7.063917726435359</v>
      </c>
      <c r="H11" s="20">
        <v>3.24</v>
      </c>
      <c r="I11" s="2">
        <v>1000.22</v>
      </c>
      <c r="J11" s="2">
        <v>70.650890000000004</v>
      </c>
      <c r="K11" s="2">
        <f t="shared" si="2"/>
        <v>999.78004838935442</v>
      </c>
      <c r="L11" s="2">
        <f t="shared" si="3"/>
        <v>7.0635350222950946</v>
      </c>
      <c r="M11" s="20">
        <f t="shared" si="9"/>
        <v>0.23100000000000001</v>
      </c>
      <c r="N11" s="2">
        <f t="shared" si="4"/>
        <v>1.414506809999902E-2</v>
      </c>
      <c r="O11" s="50">
        <v>0.22681699999999999</v>
      </c>
      <c r="P11" s="48">
        <v>0.24096206809999901</v>
      </c>
      <c r="Q11" s="2">
        <v>73.111945370000001</v>
      </c>
      <c r="R11" s="37">
        <f t="shared" si="5"/>
        <v>2.4610553699999969</v>
      </c>
      <c r="S11" s="41">
        <f t="shared" si="6"/>
        <v>3.3661467459869296</v>
      </c>
      <c r="T11" s="44">
        <f t="shared" si="7"/>
        <v>9.9620680999989997E-3</v>
      </c>
      <c r="U11" s="3">
        <f t="shared" si="8"/>
        <v>4.3125835930731595</v>
      </c>
    </row>
    <row r="12" spans="2:23">
      <c r="B12" s="25">
        <v>8</v>
      </c>
      <c r="C12" s="20">
        <v>3.488</v>
      </c>
      <c r="D12" s="2">
        <v>1000.23904</v>
      </c>
      <c r="E12" s="2">
        <v>80.596379999999996</v>
      </c>
      <c r="F12" s="2">
        <f t="shared" si="0"/>
        <v>999.76101712646607</v>
      </c>
      <c r="G12" s="3">
        <f t="shared" si="1"/>
        <v>8.0615645758675196</v>
      </c>
      <c r="H12" s="20">
        <v>3.24</v>
      </c>
      <c r="I12" s="2">
        <v>1000.2</v>
      </c>
      <c r="J12" s="2">
        <v>80.678120000000007</v>
      </c>
      <c r="K12" s="2">
        <f t="shared" si="2"/>
        <v>999.80003999200164</v>
      </c>
      <c r="L12" s="2">
        <f t="shared" si="3"/>
        <v>8.0661987602479499</v>
      </c>
      <c r="M12" s="20">
        <f t="shared" si="9"/>
        <v>0.26400000000000001</v>
      </c>
      <c r="N12" s="2">
        <f t="shared" si="4"/>
        <v>1.4613871100000009E-2</v>
      </c>
      <c r="O12" s="50">
        <v>0.25921699999999998</v>
      </c>
      <c r="P12" s="48">
        <v>0.27383087109999998</v>
      </c>
      <c r="Q12" s="2">
        <v>83.081302879999996</v>
      </c>
      <c r="R12" s="37">
        <f t="shared" si="5"/>
        <v>2.4031828799999886</v>
      </c>
      <c r="S12" s="41">
        <f t="shared" si="6"/>
        <v>2.8925676375959943</v>
      </c>
      <c r="T12" s="44">
        <f t="shared" si="7"/>
        <v>9.8308710999999716E-3</v>
      </c>
      <c r="U12" s="3">
        <f t="shared" si="8"/>
        <v>3.7238148106060498</v>
      </c>
    </row>
    <row r="13" spans="2:23">
      <c r="B13" s="25">
        <v>9</v>
      </c>
      <c r="C13" s="20">
        <v>3.3279999999999998</v>
      </c>
      <c r="D13" s="2">
        <v>1000.15952</v>
      </c>
      <c r="E13" s="2">
        <v>90.621830000000003</v>
      </c>
      <c r="F13" s="2">
        <f t="shared" si="0"/>
        <v>999.84050544257184</v>
      </c>
      <c r="G13" s="3">
        <f t="shared" si="1"/>
        <v>9.0636285994321586</v>
      </c>
      <c r="H13" s="20">
        <v>3.24</v>
      </c>
      <c r="I13" s="2">
        <v>1000.19</v>
      </c>
      <c r="J13" s="2">
        <v>90.657510000000002</v>
      </c>
      <c r="K13" s="2">
        <f t="shared" si="2"/>
        <v>999.81003609314223</v>
      </c>
      <c r="L13" s="2">
        <f t="shared" si="3"/>
        <v>9.0640288345214408</v>
      </c>
      <c r="M13" s="20">
        <f t="shared" si="9"/>
        <v>0.29700000000000004</v>
      </c>
      <c r="N13" s="2">
        <f t="shared" si="4"/>
        <v>1.5072643800000007E-2</v>
      </c>
      <c r="O13" s="50">
        <v>0.29161700000000002</v>
      </c>
      <c r="P13" s="48">
        <v>0.30668964380000002</v>
      </c>
      <c r="Q13" s="2">
        <v>93.051704150000006</v>
      </c>
      <c r="R13" s="37">
        <f t="shared" si="5"/>
        <v>2.3941941500000041</v>
      </c>
      <c r="S13" s="41">
        <f t="shared" si="6"/>
        <v>2.5729718459970878</v>
      </c>
      <c r="T13" s="44">
        <f t="shared" si="7"/>
        <v>9.6896437999999807E-3</v>
      </c>
      <c r="U13" s="3">
        <f t="shared" si="8"/>
        <v>3.2625063299663228</v>
      </c>
    </row>
    <row r="14" spans="2:23">
      <c r="B14" s="25">
        <v>10</v>
      </c>
      <c r="C14" s="20">
        <v>3.28</v>
      </c>
      <c r="D14" s="2">
        <v>1000.19804</v>
      </c>
      <c r="E14" s="2">
        <v>100.61896</v>
      </c>
      <c r="F14" s="2">
        <f t="shared" si="0"/>
        <v>999.801999212076</v>
      </c>
      <c r="G14" s="3">
        <f>(E14/F14)*100</f>
        <v>10.06388865788384</v>
      </c>
      <c r="H14" s="20">
        <v>3.24</v>
      </c>
      <c r="I14" s="2">
        <v>1000.23</v>
      </c>
      <c r="J14" s="2">
        <v>100.624229999999</v>
      </c>
      <c r="K14" s="2">
        <f t="shared" si="2"/>
        <v>999.77005288783573</v>
      </c>
      <c r="L14" s="2">
        <f t="shared" si="3"/>
        <v>10.060109174889675</v>
      </c>
      <c r="M14" s="20">
        <f t="shared" si="9"/>
        <v>0.33000000000000007</v>
      </c>
      <c r="N14" s="2">
        <f t="shared" si="4"/>
        <v>1.5528028199999988E-2</v>
      </c>
      <c r="O14" s="50">
        <v>0.324017</v>
      </c>
      <c r="P14" s="48">
        <v>0.33954502819999999</v>
      </c>
      <c r="Q14" s="2">
        <v>103.01932499999999</v>
      </c>
      <c r="R14" s="37">
        <f t="shared" si="5"/>
        <v>2.3950950000009925</v>
      </c>
      <c r="S14" s="41">
        <f t="shared" si="6"/>
        <v>2.3248987507935936</v>
      </c>
      <c r="T14" s="44">
        <f t="shared" si="7"/>
        <v>9.5450281999999165E-3</v>
      </c>
      <c r="U14" s="3">
        <f t="shared" si="8"/>
        <v>2.8924327878787617</v>
      </c>
    </row>
    <row r="15" spans="2:23">
      <c r="B15" s="25">
        <v>11</v>
      </c>
      <c r="C15" s="20">
        <v>3.28</v>
      </c>
      <c r="D15" s="2">
        <v>1000.15854</v>
      </c>
      <c r="E15" s="2">
        <v>110.635019999999</v>
      </c>
      <c r="F15" s="2">
        <f t="shared" si="0"/>
        <v>999.84148513094738</v>
      </c>
      <c r="G15" s="3">
        <f t="shared" si="1"/>
        <v>11.06525600760698</v>
      </c>
      <c r="H15" s="20">
        <v>3.24</v>
      </c>
      <c r="I15" s="2">
        <v>1000.22999999999</v>
      </c>
      <c r="J15" s="2">
        <v>110.615259999999</v>
      </c>
      <c r="K15" s="2">
        <f t="shared" si="2"/>
        <v>999.77005288784585</v>
      </c>
      <c r="L15" s="2">
        <f t="shared" si="3"/>
        <v>11.05898243404018</v>
      </c>
      <c r="M15" s="20">
        <f t="shared" si="9"/>
        <v>0.3630000000000001</v>
      </c>
      <c r="N15" s="2">
        <f t="shared" si="4"/>
        <v>1.5980349000000005E-2</v>
      </c>
      <c r="O15" s="50">
        <v>0.35641699999999998</v>
      </c>
      <c r="P15" s="48">
        <v>0.37239734899999999</v>
      </c>
      <c r="Q15" s="2">
        <v>112.9867809</v>
      </c>
      <c r="R15" s="37">
        <f t="shared" si="5"/>
        <v>2.371520900001002</v>
      </c>
      <c r="S15" s="41">
        <f t="shared" si="6"/>
        <v>2.0989366022383971</v>
      </c>
      <c r="T15" s="44">
        <f t="shared" si="7"/>
        <v>9.3973489999998883E-3</v>
      </c>
      <c r="U15" s="3">
        <f t="shared" si="8"/>
        <v>2.5888013774104368</v>
      </c>
    </row>
    <row r="16" spans="2:23">
      <c r="B16" s="25">
        <v>12</v>
      </c>
      <c r="C16" s="20">
        <v>3.28</v>
      </c>
      <c r="D16" s="2">
        <v>1000.1285</v>
      </c>
      <c r="E16" s="2">
        <v>120.50924000000001</v>
      </c>
      <c r="F16" s="2">
        <f t="shared" si="0"/>
        <v>999.87151651012834</v>
      </c>
      <c r="G16" s="3">
        <f t="shared" si="1"/>
        <v>12.052472543734002</v>
      </c>
      <c r="H16" s="20">
        <v>3.24</v>
      </c>
      <c r="I16" s="2">
        <v>1000.21999999999</v>
      </c>
      <c r="J16" s="2">
        <v>120.59375</v>
      </c>
      <c r="K16" s="2">
        <f t="shared" si="2"/>
        <v>999.78004838936442</v>
      </c>
      <c r="L16" s="2">
        <f t="shared" si="3"/>
        <v>12.05672252104549</v>
      </c>
      <c r="M16" s="20">
        <f t="shared" si="9"/>
        <v>0.39600000000000013</v>
      </c>
      <c r="N16" s="2">
        <f t="shared" si="4"/>
        <v>1.6471849499999969E-2</v>
      </c>
      <c r="O16" s="50">
        <v>0.38881700000000002</v>
      </c>
      <c r="P16" s="48">
        <v>0.40528884949999999</v>
      </c>
      <c r="Q16" s="2">
        <v>122.95417399999999</v>
      </c>
      <c r="R16" s="37">
        <f t="shared" si="5"/>
        <v>2.3604239999999947</v>
      </c>
      <c r="S16" s="41">
        <f t="shared" si="6"/>
        <v>1.9197591453869591</v>
      </c>
      <c r="T16" s="44">
        <f t="shared" si="7"/>
        <v>9.2888494999998628E-3</v>
      </c>
      <c r="U16" s="3">
        <f t="shared" si="8"/>
        <v>2.34566906565653</v>
      </c>
    </row>
    <row r="17" spans="2:21">
      <c r="B17" s="25">
        <v>13</v>
      </c>
      <c r="C17" s="20">
        <v>3.28</v>
      </c>
      <c r="D17" s="2">
        <v>1000.22951999999</v>
      </c>
      <c r="E17" s="2">
        <v>130.58759000000001</v>
      </c>
      <c r="F17" s="2">
        <f t="shared" si="0"/>
        <v>999.7705326673522</v>
      </c>
      <c r="G17" s="3">
        <f>(E17/F17)*100</f>
        <v>13.061756246365549</v>
      </c>
      <c r="H17" s="20">
        <v>3.24</v>
      </c>
      <c r="I17" s="2">
        <v>1000.28</v>
      </c>
      <c r="J17" s="2">
        <v>130.59544</v>
      </c>
      <c r="K17" s="2">
        <f t="shared" si="2"/>
        <v>999.72007837805427</v>
      </c>
      <c r="L17" s="2">
        <f t="shared" si="3"/>
        <v>13.055888351261647</v>
      </c>
      <c r="M17" s="20">
        <f t="shared" si="9"/>
        <v>0.42900000000000016</v>
      </c>
      <c r="N17" s="2">
        <f t="shared" si="4"/>
        <v>1.6913915299999971E-2</v>
      </c>
      <c r="O17" s="50">
        <v>0.42121700000000001</v>
      </c>
      <c r="P17" s="48">
        <v>0.43813091529999998</v>
      </c>
      <c r="Q17" s="2">
        <v>132.91096780000001</v>
      </c>
      <c r="R17" s="37">
        <f t="shared" si="5"/>
        <v>2.3155278000000123</v>
      </c>
      <c r="S17" s="41">
        <f t="shared" si="6"/>
        <v>1.7421645770304985</v>
      </c>
      <c r="T17" s="44">
        <f t="shared" si="7"/>
        <v>9.13091529999982E-3</v>
      </c>
      <c r="U17" s="3">
        <f t="shared" si="8"/>
        <v>2.1284184848484418</v>
      </c>
    </row>
    <row r="18" spans="2:21">
      <c r="B18" s="25">
        <v>14</v>
      </c>
      <c r="C18" s="20">
        <v>3.28</v>
      </c>
      <c r="D18" s="2">
        <v>1000.23948</v>
      </c>
      <c r="E18" s="2">
        <v>140.62710999999999</v>
      </c>
      <c r="F18" s="2">
        <f t="shared" si="0"/>
        <v>999.76057733693949</v>
      </c>
      <c r="G18" s="3">
        <f t="shared" si="1"/>
        <v>14.066078738030278</v>
      </c>
      <c r="H18" s="20">
        <v>3.24</v>
      </c>
      <c r="I18" s="2">
        <v>1000.21</v>
      </c>
      <c r="J18" s="2">
        <v>140.56163000000001</v>
      </c>
      <c r="K18" s="2">
        <f t="shared" si="2"/>
        <v>999.79004409074105</v>
      </c>
      <c r="L18" s="2">
        <f t="shared" si="3"/>
        <v>14.053211825516643</v>
      </c>
      <c r="M18" s="20">
        <f t="shared" si="9"/>
        <v>0.46200000000000019</v>
      </c>
      <c r="N18" s="2">
        <f t="shared" si="4"/>
        <v>1.7360187600000021E-2</v>
      </c>
      <c r="O18" s="50">
        <v>0.45361699999999999</v>
      </c>
      <c r="P18" s="48">
        <v>0.47097718760000001</v>
      </c>
      <c r="Q18" s="2">
        <v>142.8767599</v>
      </c>
      <c r="R18" s="37">
        <f t="shared" si="5"/>
        <v>2.3151298999999881</v>
      </c>
      <c r="S18" s="41">
        <f t="shared" si="6"/>
        <v>1.6203684221425212</v>
      </c>
      <c r="T18" s="44">
        <f t="shared" si="7"/>
        <v>8.9771875999998252E-3</v>
      </c>
      <c r="U18" s="3">
        <f t="shared" si="8"/>
        <v>1.9431141991341605</v>
      </c>
    </row>
    <row r="19" spans="2:21">
      <c r="B19" s="25">
        <v>15</v>
      </c>
      <c r="C19" s="20">
        <v>3.28</v>
      </c>
      <c r="D19" s="2">
        <v>1000.27951999999</v>
      </c>
      <c r="E19" s="2">
        <v>150.63287</v>
      </c>
      <c r="F19" s="2">
        <f t="shared" si="0"/>
        <v>999.72055810960705</v>
      </c>
      <c r="G19" s="3">
        <f t="shared" si="1"/>
        <v>15.06749748998209</v>
      </c>
      <c r="H19" s="20">
        <v>3.24</v>
      </c>
      <c r="I19" s="2">
        <v>1000.21</v>
      </c>
      <c r="J19" s="2">
        <v>150.5607</v>
      </c>
      <c r="K19" s="2">
        <f t="shared" si="2"/>
        <v>999.79004409074105</v>
      </c>
      <c r="L19" s="2">
        <f t="shared" si="3"/>
        <v>15.052908889133281</v>
      </c>
      <c r="M19" s="20">
        <f t="shared" si="9"/>
        <v>0.49500000000000022</v>
      </c>
      <c r="N19" s="2">
        <f t="shared" si="4"/>
        <v>1.7797499300000019E-2</v>
      </c>
      <c r="O19" s="50">
        <v>0.48601699999999998</v>
      </c>
      <c r="P19" s="48">
        <v>0.5038144993</v>
      </c>
      <c r="Q19" s="2">
        <v>152.83376530000001</v>
      </c>
      <c r="R19" s="37">
        <f t="shared" si="5"/>
        <v>2.2730653000000132</v>
      </c>
      <c r="S19" s="41">
        <f t="shared" si="6"/>
        <v>1.4872795259203189</v>
      </c>
      <c r="T19" s="44">
        <f t="shared" si="7"/>
        <v>8.8144992999997784E-3</v>
      </c>
      <c r="U19" s="3">
        <f t="shared" si="8"/>
        <v>1.7807069292928839</v>
      </c>
    </row>
    <row r="20" spans="2:21">
      <c r="B20" s="25">
        <v>16</v>
      </c>
      <c r="C20" s="20">
        <v>3.28</v>
      </c>
      <c r="D20" s="2">
        <v>1000.19760999999</v>
      </c>
      <c r="E20" s="2">
        <v>160.58928999999901</v>
      </c>
      <c r="F20" s="2">
        <f t="shared" si="0"/>
        <v>999.80242904200691</v>
      </c>
      <c r="G20" s="3">
        <f t="shared" si="1"/>
        <v>16.062102404959433</v>
      </c>
      <c r="H20" s="20">
        <v>3.24</v>
      </c>
      <c r="I20" s="2">
        <v>1000.22</v>
      </c>
      <c r="J20" s="2">
        <v>160.57413</v>
      </c>
      <c r="K20" s="2">
        <f t="shared" si="2"/>
        <v>999.78004838935442</v>
      </c>
      <c r="L20" s="2">
        <f t="shared" si="3"/>
        <v>16.053881146147848</v>
      </c>
      <c r="M20" s="20">
        <f t="shared" si="9"/>
        <v>0.52800000000000025</v>
      </c>
      <c r="N20" s="2">
        <f t="shared" si="4"/>
        <v>1.8273501699999972E-2</v>
      </c>
      <c r="O20" s="50">
        <v>0.51841700000000002</v>
      </c>
      <c r="P20" s="48">
        <v>0.53669050169999999</v>
      </c>
      <c r="Q20" s="2">
        <v>162.80636680000001</v>
      </c>
      <c r="R20" s="37">
        <f t="shared" si="5"/>
        <v>2.2322368000000097</v>
      </c>
      <c r="S20" s="41">
        <f t="shared" si="6"/>
        <v>1.3710992044569166</v>
      </c>
      <c r="T20" s="44">
        <f t="shared" si="7"/>
        <v>8.690501699999742E-3</v>
      </c>
      <c r="U20" s="3">
        <f t="shared" si="8"/>
        <v>1.6459283522726778</v>
      </c>
    </row>
    <row r="21" spans="2:21">
      <c r="B21" s="25">
        <v>17</v>
      </c>
      <c r="C21" s="20">
        <v>3.28</v>
      </c>
      <c r="D21" s="2">
        <v>1000.23735</v>
      </c>
      <c r="E21" s="2">
        <v>170.51219</v>
      </c>
      <c r="F21" s="2">
        <f t="shared" si="0"/>
        <v>999.7627063216546</v>
      </c>
      <c r="G21" s="3">
        <f t="shared" si="1"/>
        <v>17.055266106829649</v>
      </c>
      <c r="H21" s="20">
        <v>3.24</v>
      </c>
      <c r="I21" s="2">
        <v>1000.22</v>
      </c>
      <c r="J21" s="2">
        <v>170.50946999999999</v>
      </c>
      <c r="K21" s="2">
        <f t="shared" si="2"/>
        <v>999.78004838935442</v>
      </c>
      <c r="L21" s="2">
        <f t="shared" si="3"/>
        <v>17.047196616744316</v>
      </c>
      <c r="M21" s="20">
        <f t="shared" si="9"/>
        <v>0.56100000000000028</v>
      </c>
      <c r="N21" s="2">
        <f t="shared" si="4"/>
        <v>1.8701849299999962E-2</v>
      </c>
      <c r="O21" s="50">
        <v>0.550817</v>
      </c>
      <c r="P21" s="48">
        <v>0.56951884929999996</v>
      </c>
      <c r="Q21" s="2">
        <v>172.76688569999999</v>
      </c>
      <c r="R21" s="37">
        <f t="shared" si="5"/>
        <v>2.2574156999999957</v>
      </c>
      <c r="S21" s="41">
        <f t="shared" si="6"/>
        <v>1.3066252197888615</v>
      </c>
      <c r="T21" s="44">
        <f t="shared" si="7"/>
        <v>8.5188492999996868E-3</v>
      </c>
      <c r="U21" s="3">
        <f t="shared" si="8"/>
        <v>1.5185114616755229</v>
      </c>
    </row>
    <row r="22" spans="2:21">
      <c r="B22" s="25">
        <v>18</v>
      </c>
      <c r="C22" s="20">
        <v>3.28</v>
      </c>
      <c r="D22" s="2">
        <v>1000.19854</v>
      </c>
      <c r="E22" s="2">
        <v>180.70751999999999</v>
      </c>
      <c r="F22" s="2">
        <f t="shared" si="0"/>
        <v>999.8014994103072</v>
      </c>
      <c r="G22" s="3">
        <f t="shared" si="1"/>
        <v>18.074339767102078</v>
      </c>
      <c r="H22" s="20">
        <v>3.24</v>
      </c>
      <c r="I22" s="2">
        <v>1000.12999999999</v>
      </c>
      <c r="J22" s="2">
        <v>180.54657999999901</v>
      </c>
      <c r="K22" s="2">
        <f t="shared" si="2"/>
        <v>999.87001689781334</v>
      </c>
      <c r="L22" s="2">
        <f t="shared" si="3"/>
        <v>18.052311199544143</v>
      </c>
      <c r="M22" s="20">
        <f t="shared" si="9"/>
        <v>0.59400000000000031</v>
      </c>
      <c r="N22" s="2">
        <f t="shared" si="4"/>
        <v>1.9129214600000055E-2</v>
      </c>
      <c r="O22" s="50">
        <v>0.58321699999999999</v>
      </c>
      <c r="P22" s="48">
        <v>0.60234621460000004</v>
      </c>
      <c r="Q22" s="2">
        <v>182.72571909999999</v>
      </c>
      <c r="R22" s="37">
        <f t="shared" si="5"/>
        <v>2.179139100000981</v>
      </c>
      <c r="S22" s="41">
        <f t="shared" si="6"/>
        <v>1.1925738263524948</v>
      </c>
      <c r="T22" s="44">
        <f t="shared" si="7"/>
        <v>8.346214599999735E-3</v>
      </c>
      <c r="U22" s="3">
        <f t="shared" si="8"/>
        <v>1.4050866329965876</v>
      </c>
    </row>
    <row r="23" spans="2:21">
      <c r="B23" s="25">
        <v>19</v>
      </c>
      <c r="C23" s="20">
        <v>3.28</v>
      </c>
      <c r="D23" s="2">
        <v>1000.19684999999</v>
      </c>
      <c r="E23" s="2">
        <v>190.673439999999</v>
      </c>
      <c r="F23" s="2">
        <f t="shared" si="0"/>
        <v>999.80318874230613</v>
      </c>
      <c r="G23" s="3">
        <f t="shared" si="1"/>
        <v>19.071097406666109</v>
      </c>
      <c r="H23" s="20">
        <v>3.24</v>
      </c>
      <c r="I23" s="2">
        <v>1000.24</v>
      </c>
      <c r="J23" s="2">
        <v>190.55313000000001</v>
      </c>
      <c r="K23" s="2">
        <f t="shared" si="2"/>
        <v>999.76005758617919</v>
      </c>
      <c r="L23" s="2">
        <f t="shared" si="3"/>
        <v>19.050740822202673</v>
      </c>
      <c r="M23" s="20">
        <f t="shared" si="9"/>
        <v>0.62700000000000033</v>
      </c>
      <c r="N23" s="2">
        <f t="shared" si="4"/>
        <v>1.9553084100000007E-2</v>
      </c>
      <c r="O23" s="50">
        <v>0.61561699999999997</v>
      </c>
      <c r="P23" s="48">
        <v>0.63517008409999998</v>
      </c>
      <c r="Q23" s="2">
        <v>192.6825963</v>
      </c>
      <c r="R23" s="37">
        <f t="shared" si="5"/>
        <v>2.12946629999999</v>
      </c>
      <c r="S23" s="41">
        <f t="shared" si="6"/>
        <v>1.1051679502410723</v>
      </c>
      <c r="T23" s="44">
        <f t="shared" si="7"/>
        <v>8.1700840999996416E-3</v>
      </c>
      <c r="U23" s="3">
        <f t="shared" si="8"/>
        <v>1.303043716108395</v>
      </c>
    </row>
    <row r="24" spans="2:21">
      <c r="B24" s="25">
        <v>20</v>
      </c>
      <c r="C24" s="20">
        <v>3.28</v>
      </c>
      <c r="D24" s="2">
        <v>1000.16951999999</v>
      </c>
      <c r="E24" s="2">
        <v>200.67564999999999</v>
      </c>
      <c r="F24" s="2">
        <f t="shared" si="0"/>
        <v>999.83050873216962</v>
      </c>
      <c r="G24" s="3">
        <f t="shared" si="1"/>
        <v>20.0709668536186</v>
      </c>
      <c r="H24" s="20">
        <v>3.24</v>
      </c>
      <c r="I24" s="2">
        <v>1000.1899999999901</v>
      </c>
      <c r="J24" s="2">
        <v>200.49175</v>
      </c>
      <c r="K24" s="2">
        <f t="shared" si="2"/>
        <v>999.81003609315223</v>
      </c>
      <c r="L24" s="2">
        <f t="shared" si="3"/>
        <v>20.045366380387925</v>
      </c>
      <c r="M24" s="20">
        <f t="shared" si="9"/>
        <v>0.66000000000000036</v>
      </c>
      <c r="N24" s="2">
        <f t="shared" si="4"/>
        <v>2.0018112699999091E-2</v>
      </c>
      <c r="O24" s="50">
        <v>0.64801699999999995</v>
      </c>
      <c r="P24" s="48">
        <v>0.66803511269999905</v>
      </c>
      <c r="Q24" s="2">
        <v>202.65107510000001</v>
      </c>
      <c r="R24" s="37">
        <f t="shared" si="5"/>
        <v>2.159325100000018</v>
      </c>
      <c r="S24" s="41">
        <f t="shared" si="6"/>
        <v>1.0655384378960138</v>
      </c>
      <c r="T24" s="44">
        <f t="shared" si="7"/>
        <v>8.0351126999986811E-3</v>
      </c>
      <c r="U24" s="3">
        <f t="shared" si="8"/>
        <v>1.2174413181816177</v>
      </c>
    </row>
    <row r="25" spans="2:21">
      <c r="B25" s="25">
        <v>21</v>
      </c>
      <c r="C25" s="20">
        <v>3.28</v>
      </c>
      <c r="D25" s="2">
        <v>1000.19748999999</v>
      </c>
      <c r="E25" s="2">
        <v>210.27077</v>
      </c>
      <c r="F25" s="2">
        <f t="shared" si="0"/>
        <v>999.80254899460908</v>
      </c>
      <c r="G25" s="3">
        <f t="shared" si="1"/>
        <v>21.031229637436518</v>
      </c>
      <c r="H25" s="20">
        <v>3.24</v>
      </c>
      <c r="I25" s="2">
        <v>1000.2</v>
      </c>
      <c r="J25" s="2">
        <v>210.161609999999</v>
      </c>
      <c r="K25" s="2">
        <f t="shared" si="2"/>
        <v>999.80003999200164</v>
      </c>
      <c r="L25" s="2">
        <f t="shared" si="3"/>
        <v>21.011958608278245</v>
      </c>
      <c r="M25" s="20">
        <f t="shared" si="9"/>
        <v>0.69300000000000039</v>
      </c>
      <c r="N25" s="2">
        <f t="shared" si="4"/>
        <v>1.9616335799998996E-2</v>
      </c>
      <c r="O25" s="50">
        <v>0.68041700000000005</v>
      </c>
      <c r="P25" s="48">
        <v>0.70003333579999905</v>
      </c>
      <c r="Q25" s="2">
        <v>212.3560004</v>
      </c>
      <c r="R25" s="37">
        <f t="shared" si="5"/>
        <v>2.1943904000009979</v>
      </c>
      <c r="S25" s="41">
        <f t="shared" si="6"/>
        <v>1.0333545536116615</v>
      </c>
      <c r="T25" s="44">
        <f t="shared" si="7"/>
        <v>7.0333357999986523E-3</v>
      </c>
      <c r="U25" s="3">
        <f t="shared" si="8"/>
        <v>1.0149113708511757</v>
      </c>
    </row>
    <row r="26" spans="2:21">
      <c r="B26" s="25">
        <v>22</v>
      </c>
      <c r="C26" s="20">
        <v>3.28</v>
      </c>
      <c r="D26" s="2">
        <v>1000.19904</v>
      </c>
      <c r="E26" s="2">
        <v>220.15316999999899</v>
      </c>
      <c r="F26" s="2">
        <f t="shared" si="0"/>
        <v>999.80099960903783</v>
      </c>
      <c r="G26" s="3">
        <f t="shared" si="1"/>
        <v>22.019698928695579</v>
      </c>
      <c r="H26" s="20">
        <v>3.24</v>
      </c>
      <c r="I26" s="2">
        <v>1000.2</v>
      </c>
      <c r="J26" s="2">
        <v>220.22421</v>
      </c>
      <c r="K26" s="2">
        <f t="shared" si="2"/>
        <v>999.80003999200164</v>
      </c>
      <c r="L26" s="2">
        <f t="shared" si="3"/>
        <v>22.018017396520694</v>
      </c>
      <c r="M26" s="20">
        <f t="shared" si="9"/>
        <v>0.72600000000000042</v>
      </c>
      <c r="N26" s="2">
        <f t="shared" si="4"/>
        <v>2.0033923399999987E-2</v>
      </c>
      <c r="O26" s="50">
        <v>0.71281700000000003</v>
      </c>
      <c r="P26" s="48">
        <v>0.73285092340000002</v>
      </c>
      <c r="Q26" s="2">
        <v>222.31023970000001</v>
      </c>
      <c r="R26" s="37">
        <f t="shared" si="5"/>
        <v>2.0860297000000116</v>
      </c>
      <c r="S26" s="41">
        <f t="shared" si="6"/>
        <v>0.93834170788310822</v>
      </c>
      <c r="T26" s="44">
        <f t="shared" si="7"/>
        <v>6.8509233999995978E-3</v>
      </c>
      <c r="U26" s="3">
        <f t="shared" si="8"/>
        <v>0.94365336088148666</v>
      </c>
    </row>
    <row r="27" spans="2:21">
      <c r="B27" s="25">
        <v>23</v>
      </c>
      <c r="C27" s="20">
        <v>3.28</v>
      </c>
      <c r="D27" s="2">
        <v>1000.23777</v>
      </c>
      <c r="E27" s="2">
        <v>230.23654999999999</v>
      </c>
      <c r="F27" s="2">
        <f t="shared" si="0"/>
        <v>999.76228652113377</v>
      </c>
      <c r="G27" s="3">
        <f t="shared" si="1"/>
        <v>23.029129334449351</v>
      </c>
      <c r="H27" s="20">
        <v>3.24</v>
      </c>
      <c r="I27" s="2">
        <v>1000.23</v>
      </c>
      <c r="J27" s="2">
        <v>230.29773</v>
      </c>
      <c r="K27" s="2">
        <f t="shared" si="2"/>
        <v>999.77005288783573</v>
      </c>
      <c r="L27" s="2">
        <f t="shared" si="3"/>
        <v>23.024477370204853</v>
      </c>
      <c r="M27" s="20">
        <f t="shared" si="9"/>
        <v>0.75900000000000045</v>
      </c>
      <c r="N27" s="2">
        <f t="shared" si="4"/>
        <v>2.0484971299999932E-2</v>
      </c>
      <c r="O27" s="50">
        <v>0.74521700000000002</v>
      </c>
      <c r="P27" s="48">
        <v>0.76570197129999995</v>
      </c>
      <c r="Q27" s="2">
        <v>232.27481760000001</v>
      </c>
      <c r="R27" s="37">
        <f t="shared" si="5"/>
        <v>1.9770876000000044</v>
      </c>
      <c r="S27" s="41">
        <f t="shared" si="6"/>
        <v>0.85118465291607415</v>
      </c>
      <c r="T27" s="44">
        <f t="shared" si="7"/>
        <v>6.7019712999994985E-3</v>
      </c>
      <c r="U27" s="3">
        <f t="shared" si="8"/>
        <v>0.88300017127793085</v>
      </c>
    </row>
    <row r="28" spans="2:21">
      <c r="B28" s="25">
        <v>24</v>
      </c>
      <c r="C28" s="20">
        <v>3.28</v>
      </c>
      <c r="D28" s="2">
        <v>1000.16502</v>
      </c>
      <c r="E28" s="2">
        <v>240.27196000000001</v>
      </c>
      <c r="F28" s="2">
        <f t="shared" si="0"/>
        <v>999.83500722710733</v>
      </c>
      <c r="G28" s="3">
        <f t="shared" si="1"/>
        <v>24.03116096788392</v>
      </c>
      <c r="H28" s="20">
        <v>3.24</v>
      </c>
      <c r="I28" s="2">
        <v>1000.27</v>
      </c>
      <c r="J28" s="2">
        <v>240.18828999999999</v>
      </c>
      <c r="K28" s="2">
        <f t="shared" si="2"/>
        <v>999.73007288032238</v>
      </c>
      <c r="L28" s="2">
        <f t="shared" si="3"/>
        <v>24.012345666669997</v>
      </c>
      <c r="M28" s="20">
        <f t="shared" si="9"/>
        <v>0.79200000000000048</v>
      </c>
      <c r="N28" s="2">
        <f t="shared" si="4"/>
        <v>2.0887185500000016E-2</v>
      </c>
      <c r="O28" s="50">
        <v>0.777617</v>
      </c>
      <c r="P28" s="48">
        <v>0.79850418550000002</v>
      </c>
      <c r="Q28" s="2">
        <v>242.23075420000001</v>
      </c>
      <c r="R28" s="37">
        <f t="shared" si="5"/>
        <v>2.0424642000000119</v>
      </c>
      <c r="S28" s="41">
        <f t="shared" si="6"/>
        <v>0.84318946483303814</v>
      </c>
      <c r="T28" s="44">
        <f t="shared" si="7"/>
        <v>6.5041854999995374E-3</v>
      </c>
      <c r="U28" s="3">
        <f t="shared" si="8"/>
        <v>0.82123554292923406</v>
      </c>
    </row>
    <row r="29" spans="2:21">
      <c r="B29" s="25">
        <v>25</v>
      </c>
      <c r="C29" s="20">
        <v>3.28</v>
      </c>
      <c r="D29" s="2">
        <v>1000.2399799999999</v>
      </c>
      <c r="E29" s="2">
        <v>250.07606000000001</v>
      </c>
      <c r="F29" s="2">
        <f t="shared" si="0"/>
        <v>999.76007757658329</v>
      </c>
      <c r="G29" s="3">
        <f t="shared" si="1"/>
        <v>25.013607325287879</v>
      </c>
      <c r="H29" s="20">
        <v>3.24</v>
      </c>
      <c r="I29" s="2">
        <v>1000.21</v>
      </c>
      <c r="J29" s="2">
        <v>250.25238999999999</v>
      </c>
      <c r="K29" s="2">
        <f t="shared" si="2"/>
        <v>999.79004409074105</v>
      </c>
      <c r="L29" s="2">
        <f t="shared" si="3"/>
        <v>25.019984803191331</v>
      </c>
      <c r="M29" s="20">
        <f t="shared" si="9"/>
        <v>0.82500000000000051</v>
      </c>
      <c r="N29" s="2">
        <f t="shared" si="4"/>
        <v>2.1297040900000064E-2</v>
      </c>
      <c r="O29" s="50">
        <v>0.81001699999999999</v>
      </c>
      <c r="P29" s="48">
        <v>0.83131404090000005</v>
      </c>
      <c r="Q29" s="2">
        <v>252.18347410000001</v>
      </c>
      <c r="R29" s="37">
        <f t="shared" si="5"/>
        <v>1.931084100000021</v>
      </c>
      <c r="S29" s="41">
        <f t="shared" si="6"/>
        <v>0.76574569641874124</v>
      </c>
      <c r="T29" s="44">
        <f t="shared" si="7"/>
        <v>6.3140408999995401E-3</v>
      </c>
      <c r="U29" s="3">
        <f t="shared" si="8"/>
        <v>0.76533829090903471</v>
      </c>
    </row>
    <row r="30" spans="2:21">
      <c r="B30" s="25">
        <v>26</v>
      </c>
      <c r="C30" s="20">
        <v>3.28</v>
      </c>
      <c r="D30" s="2">
        <v>1000.0724699999899</v>
      </c>
      <c r="E30" s="2">
        <v>260.10712999999998</v>
      </c>
      <c r="F30" s="2">
        <f t="shared" si="0"/>
        <v>999.92753525153046</v>
      </c>
      <c r="G30" s="3">
        <f t="shared" si="1"/>
        <v>26.012597996370847</v>
      </c>
      <c r="H30" s="20">
        <v>3.24</v>
      </c>
      <c r="I30" s="2">
        <v>1000.07999999999</v>
      </c>
      <c r="J30" s="2">
        <v>260.17561999999998</v>
      </c>
      <c r="K30" s="2">
        <f t="shared" si="2"/>
        <v>999.92000639949799</v>
      </c>
      <c r="L30" s="2">
        <f t="shared" si="3"/>
        <v>26.015480761539333</v>
      </c>
      <c r="M30" s="20">
        <f t="shared" si="9"/>
        <v>0.85800000000000054</v>
      </c>
      <c r="N30" s="2">
        <f t="shared" si="4"/>
        <v>2.1703974399999049E-2</v>
      </c>
      <c r="O30" s="50">
        <v>0.84241699999999997</v>
      </c>
      <c r="P30" s="48">
        <v>0.86412097439999902</v>
      </c>
      <c r="Q30" s="2">
        <v>262.1322265</v>
      </c>
      <c r="R30" s="37">
        <f t="shared" si="5"/>
        <v>1.9566065000000208</v>
      </c>
      <c r="S30" s="41">
        <f t="shared" si="6"/>
        <v>0.7464196699981186</v>
      </c>
      <c r="T30" s="44">
        <f t="shared" si="7"/>
        <v>6.12097439999848E-3</v>
      </c>
      <c r="U30" s="3">
        <f t="shared" si="8"/>
        <v>0.71340027972010212</v>
      </c>
    </row>
    <row r="31" spans="2:21">
      <c r="B31" s="25">
        <v>27</v>
      </c>
      <c r="C31" s="20">
        <v>3.28</v>
      </c>
      <c r="D31" s="2">
        <v>1000.15905</v>
      </c>
      <c r="E31" s="2">
        <v>270.34657999999899</v>
      </c>
      <c r="F31" s="2">
        <f t="shared" si="0"/>
        <v>999.84097529287976</v>
      </c>
      <c r="G31" s="3">
        <f t="shared" si="1"/>
        <v>27.038957862354795</v>
      </c>
      <c r="H31" s="20">
        <v>3.24</v>
      </c>
      <c r="I31" s="2">
        <v>1000.20999999999</v>
      </c>
      <c r="J31" s="2">
        <v>270.18592999999998</v>
      </c>
      <c r="K31" s="2">
        <f t="shared" si="2"/>
        <v>999.79004409075094</v>
      </c>
      <c r="L31" s="2">
        <f t="shared" si="3"/>
        <v>27.012920286740048</v>
      </c>
      <c r="M31" s="20">
        <f t="shared" si="9"/>
        <v>0.89100000000000057</v>
      </c>
      <c r="N31" s="2">
        <f t="shared" si="4"/>
        <v>2.2148009900000099E-2</v>
      </c>
      <c r="O31" s="50">
        <v>0.87481699999999996</v>
      </c>
      <c r="P31" s="48">
        <v>0.89696500990000005</v>
      </c>
      <c r="Q31" s="2">
        <v>272.09403529999997</v>
      </c>
      <c r="R31" s="37">
        <f t="shared" si="5"/>
        <v>1.9081052999999883</v>
      </c>
      <c r="S31" s="41">
        <f t="shared" si="6"/>
        <v>0.7012668608836603</v>
      </c>
      <c r="T31" s="44">
        <f t="shared" si="7"/>
        <v>5.9650098999994849E-3</v>
      </c>
      <c r="U31" s="3">
        <f t="shared" si="8"/>
        <v>0.66947361391688909</v>
      </c>
    </row>
    <row r="32" spans="2:21">
      <c r="B32" s="25">
        <v>28</v>
      </c>
      <c r="C32" s="20">
        <v>3.28</v>
      </c>
      <c r="D32" s="2">
        <v>1000.19769999999</v>
      </c>
      <c r="E32" s="2">
        <v>280.26985000000002</v>
      </c>
      <c r="F32" s="2">
        <f t="shared" si="0"/>
        <v>999.80233907757429</v>
      </c>
      <c r="G32" s="3">
        <f t="shared" si="1"/>
        <v>28.03252593493422</v>
      </c>
      <c r="H32" s="20">
        <v>3.24</v>
      </c>
      <c r="I32" s="2">
        <v>1000.17</v>
      </c>
      <c r="J32" s="2">
        <v>280.18108999999998</v>
      </c>
      <c r="K32" s="2">
        <f t="shared" si="2"/>
        <v>999.83002889508782</v>
      </c>
      <c r="L32" s="2">
        <f t="shared" si="3"/>
        <v>28.013346731055723</v>
      </c>
      <c r="M32" s="20">
        <f t="shared" si="9"/>
        <v>0.9240000000000006</v>
      </c>
      <c r="N32" s="2">
        <f t="shared" si="4"/>
        <v>2.2548889299998987E-2</v>
      </c>
      <c r="O32" s="50">
        <v>0.90721700000000005</v>
      </c>
      <c r="P32" s="48">
        <v>0.92976588929999904</v>
      </c>
      <c r="Q32" s="2">
        <v>282.0491811</v>
      </c>
      <c r="R32" s="37">
        <f t="shared" si="5"/>
        <v>1.8680911000000151</v>
      </c>
      <c r="S32" s="41">
        <f t="shared" si="6"/>
        <v>0.6623281417497493</v>
      </c>
      <c r="T32" s="44">
        <f t="shared" si="7"/>
        <v>5.765889299998439E-3</v>
      </c>
      <c r="U32" s="3">
        <f t="shared" si="8"/>
        <v>0.62401399350632414</v>
      </c>
    </row>
    <row r="33" spans="2:21">
      <c r="B33" s="25">
        <v>29</v>
      </c>
      <c r="C33" s="20">
        <v>3.28</v>
      </c>
      <c r="D33" s="2">
        <v>1000.158</v>
      </c>
      <c r="E33" s="2">
        <v>290.19468999999998</v>
      </c>
      <c r="F33" s="2">
        <f t="shared" si="0"/>
        <v>999.84202496005628</v>
      </c>
      <c r="G33" s="3">
        <f t="shared" si="1"/>
        <v>29.024054076102001</v>
      </c>
      <c r="H33" s="20">
        <v>3.24</v>
      </c>
      <c r="I33" s="2">
        <v>1000.2</v>
      </c>
      <c r="J33" s="2">
        <v>290.19533999999999</v>
      </c>
      <c r="K33" s="2">
        <f t="shared" si="2"/>
        <v>999.80003999200164</v>
      </c>
      <c r="L33" s="2">
        <f t="shared" si="3"/>
        <v>29.013731253749249</v>
      </c>
      <c r="M33" s="20">
        <f t="shared" si="9"/>
        <v>0.95700000000000063</v>
      </c>
      <c r="N33" s="2">
        <f t="shared" si="4"/>
        <v>2.2937922599999938E-2</v>
      </c>
      <c r="O33" s="50">
        <v>0.93961700000000004</v>
      </c>
      <c r="P33" s="48">
        <v>0.96255492259999997</v>
      </c>
      <c r="Q33" s="2">
        <v>291.99334090000002</v>
      </c>
      <c r="R33" s="37">
        <f t="shared" si="5"/>
        <v>1.7980009000000337</v>
      </c>
      <c r="S33" s="41">
        <f t="shared" si="6"/>
        <v>0.6157677755451969</v>
      </c>
      <c r="T33" s="44">
        <f t="shared" si="7"/>
        <v>5.5549225999993457E-3</v>
      </c>
      <c r="U33" s="3">
        <f t="shared" si="8"/>
        <v>0.58045168234057909</v>
      </c>
    </row>
    <row r="34" spans="2:21">
      <c r="B34" s="25">
        <v>30</v>
      </c>
      <c r="C34" s="20">
        <v>3.28</v>
      </c>
      <c r="D34" s="2">
        <v>1000.15712</v>
      </c>
      <c r="E34" s="2">
        <v>300.231549999999</v>
      </c>
      <c r="F34" s="2">
        <f t="shared" si="0"/>
        <v>999.8429046828162</v>
      </c>
      <c r="G34" s="3">
        <f t="shared" si="1"/>
        <v>30.027872238113503</v>
      </c>
      <c r="H34" s="20">
        <v>3.24</v>
      </c>
      <c r="I34" s="2">
        <v>1000.12999999999</v>
      </c>
      <c r="J34" s="2">
        <v>300.20109000000002</v>
      </c>
      <c r="K34" s="2">
        <f t="shared" si="2"/>
        <v>999.87001689781334</v>
      </c>
      <c r="L34" s="2">
        <f t="shared" si="3"/>
        <v>30.016206893104197</v>
      </c>
      <c r="M34" s="20">
        <f t="shared" si="9"/>
        <v>0.99000000000000066</v>
      </c>
      <c r="N34" s="2">
        <f t="shared" si="4"/>
        <v>2.3346389399999001E-2</v>
      </c>
      <c r="O34" s="50">
        <v>0.97201700000000002</v>
      </c>
      <c r="P34" s="48">
        <v>0.99536338939999902</v>
      </c>
      <c r="Q34" s="2">
        <v>301.94574290000003</v>
      </c>
      <c r="R34" s="37">
        <f t="shared" si="5"/>
        <v>1.7446529000000055</v>
      </c>
      <c r="S34" s="41">
        <f t="shared" si="6"/>
        <v>0.57780344350733526</v>
      </c>
      <c r="T34" s="44">
        <f t="shared" si="7"/>
        <v>5.3633893999983639E-3</v>
      </c>
      <c r="U34" s="3">
        <f t="shared" si="8"/>
        <v>0.54175650505033945</v>
      </c>
    </row>
    <row r="35" spans="2:21">
      <c r="B35" s="25">
        <v>31</v>
      </c>
      <c r="C35" s="20">
        <v>3.28</v>
      </c>
      <c r="D35" s="2">
        <v>1000.25518999999</v>
      </c>
      <c r="E35" s="2">
        <v>310.23061999999902</v>
      </c>
      <c r="F35" s="2">
        <f t="shared" si="0"/>
        <v>999.74487510533186</v>
      </c>
      <c r="G35" s="3">
        <f t="shared" si="1"/>
        <v>31.030978775191372</v>
      </c>
      <c r="H35" s="20">
        <v>3.24</v>
      </c>
      <c r="I35" s="2">
        <v>1000.21</v>
      </c>
      <c r="J35" s="2">
        <v>310.23673000000002</v>
      </c>
      <c r="K35" s="2">
        <f t="shared" si="2"/>
        <v>999.79004409074105</v>
      </c>
      <c r="L35" s="2">
        <f t="shared" si="3"/>
        <v>31.017159396526729</v>
      </c>
      <c r="M35" s="20">
        <f t="shared" si="9"/>
        <v>1.0230000000000006</v>
      </c>
      <c r="N35" s="2">
        <f t="shared" si="4"/>
        <v>2.3738612999999908E-2</v>
      </c>
      <c r="O35" s="50">
        <v>1.0044200000000001</v>
      </c>
      <c r="P35" s="48">
        <v>1.028158613</v>
      </c>
      <c r="Q35" s="2">
        <v>311.89008760000002</v>
      </c>
      <c r="R35" s="37">
        <f t="shared" si="5"/>
        <v>1.6533575999999925</v>
      </c>
      <c r="S35" s="41">
        <f t="shared" si="6"/>
        <v>0.53010905627768101</v>
      </c>
      <c r="T35" s="44">
        <f t="shared" si="7"/>
        <v>5.1586129999994235E-3</v>
      </c>
      <c r="U35" s="3">
        <f t="shared" si="8"/>
        <v>0.50426324535673717</v>
      </c>
    </row>
    <row r="36" spans="2:21">
      <c r="B36" s="25">
        <v>32</v>
      </c>
      <c r="C36" s="20">
        <v>3.28</v>
      </c>
      <c r="D36" s="2">
        <v>1000.15811</v>
      </c>
      <c r="E36" s="2">
        <v>320.10939000000002</v>
      </c>
      <c r="F36" s="2">
        <f t="shared" si="0"/>
        <v>999.84191499482017</v>
      </c>
      <c r="G36" s="3">
        <f t="shared" si="1"/>
        <v>32.016000249565288</v>
      </c>
      <c r="H36" s="20">
        <v>3.24</v>
      </c>
      <c r="I36" s="2">
        <v>1000.16</v>
      </c>
      <c r="J36" s="2">
        <v>320.194899999999</v>
      </c>
      <c r="K36" s="2">
        <f t="shared" si="2"/>
        <v>999.84002559590465</v>
      </c>
      <c r="L36" s="2">
        <f t="shared" si="3"/>
        <v>32.014367701167714</v>
      </c>
      <c r="M36" s="20">
        <f t="shared" si="9"/>
        <v>1.0560000000000005</v>
      </c>
      <c r="N36" s="2">
        <f t="shared" si="4"/>
        <v>2.4164499999999922E-2</v>
      </c>
      <c r="O36" s="50">
        <v>1.0368200000000001</v>
      </c>
      <c r="P36" s="48">
        <v>1.0609845</v>
      </c>
      <c r="Q36" s="2">
        <v>321.85717720000002</v>
      </c>
      <c r="R36" s="37">
        <f t="shared" si="5"/>
        <v>1.6622772000010286</v>
      </c>
      <c r="S36" s="41">
        <f t="shared" si="6"/>
        <v>0.516464232508974</v>
      </c>
      <c r="T36" s="44">
        <f t="shared" si="7"/>
        <v>4.9844999999995032E-3</v>
      </c>
      <c r="U36" s="3">
        <f t="shared" si="8"/>
        <v>0.47201704545449819</v>
      </c>
    </row>
    <row r="37" spans="2:21">
      <c r="B37" s="25">
        <v>33</v>
      </c>
      <c r="C37" s="20">
        <v>3.28</v>
      </c>
      <c r="D37" s="2">
        <v>1000.0735099999901</v>
      </c>
      <c r="E37" s="2">
        <v>330.18695000000002</v>
      </c>
      <c r="F37" s="2">
        <f t="shared" si="0"/>
        <v>999.92649540333286</v>
      </c>
      <c r="G37" s="3">
        <f t="shared" si="1"/>
        <v>33.021122204269119</v>
      </c>
      <c r="H37" s="20">
        <v>3.24</v>
      </c>
      <c r="I37" s="2">
        <v>1000.2</v>
      </c>
      <c r="J37" s="2">
        <v>330.14317</v>
      </c>
      <c r="K37" s="2">
        <f t="shared" si="2"/>
        <v>999.80003999200164</v>
      </c>
      <c r="L37" s="2">
        <f t="shared" si="3"/>
        <v>33.007715456908613</v>
      </c>
      <c r="M37" s="20">
        <f t="shared" si="9"/>
        <v>1.0890000000000004</v>
      </c>
      <c r="N37" s="2">
        <f t="shared" si="4"/>
        <v>2.4610617999999862E-2</v>
      </c>
      <c r="O37" s="50">
        <v>1.0692200000000001</v>
      </c>
      <c r="P37" s="48">
        <v>1.0938306179999999</v>
      </c>
      <c r="Q37" s="2">
        <v>331.79807529999999</v>
      </c>
      <c r="R37" s="37">
        <f t="shared" si="5"/>
        <v>1.6549052999999958</v>
      </c>
      <c r="S37" s="41">
        <f t="shared" si="6"/>
        <v>0.49876880645063704</v>
      </c>
      <c r="T37" s="44">
        <f t="shared" si="7"/>
        <v>4.8306179999995091E-3</v>
      </c>
      <c r="U37" s="3">
        <f t="shared" si="8"/>
        <v>0.4435829201101476</v>
      </c>
    </row>
    <row r="38" spans="2:21">
      <c r="B38" s="25">
        <v>34</v>
      </c>
      <c r="C38" s="20">
        <v>3.28</v>
      </c>
      <c r="D38" s="2">
        <v>1000.27997999999</v>
      </c>
      <c r="E38" s="2">
        <v>340.20094999999998</v>
      </c>
      <c r="F38" s="2">
        <f t="shared" si="0"/>
        <v>999.72009836686925</v>
      </c>
      <c r="G38" s="3">
        <f t="shared" si="1"/>
        <v>34.029619946197762</v>
      </c>
      <c r="H38" s="20">
        <v>3.24</v>
      </c>
      <c r="I38" s="2">
        <v>1000.18</v>
      </c>
      <c r="J38" s="2">
        <v>340.09907999999899</v>
      </c>
      <c r="K38" s="2">
        <f t="shared" si="2"/>
        <v>999.82003239416917</v>
      </c>
      <c r="L38" s="2">
        <f t="shared" si="3"/>
        <v>34.003787318282605</v>
      </c>
      <c r="M38" s="20">
        <f t="shared" si="9"/>
        <v>1.1220000000000003</v>
      </c>
      <c r="N38" s="2">
        <f t="shared" si="4"/>
        <v>2.4934515999999851E-2</v>
      </c>
      <c r="O38" s="50">
        <v>1.10162</v>
      </c>
      <c r="P38" s="48">
        <v>1.1265545159999999</v>
      </c>
      <c r="Q38" s="2">
        <v>341.74476449999997</v>
      </c>
      <c r="R38" s="37">
        <f t="shared" si="5"/>
        <v>1.6456845000009821</v>
      </c>
      <c r="S38" s="41">
        <f t="shared" si="6"/>
        <v>0.48155368302679069</v>
      </c>
      <c r="T38" s="44">
        <f t="shared" si="7"/>
        <v>4.5545159999995644E-3</v>
      </c>
      <c r="U38" s="3">
        <f t="shared" si="8"/>
        <v>0.40592834224595037</v>
      </c>
    </row>
    <row r="39" spans="2:21">
      <c r="B39" s="25">
        <v>35</v>
      </c>
      <c r="C39" s="20">
        <v>3.28</v>
      </c>
      <c r="D39" s="2">
        <v>1000.18781999999</v>
      </c>
      <c r="E39" s="2">
        <v>350.03465999999997</v>
      </c>
      <c r="F39" s="2">
        <f t="shared" si="0"/>
        <v>999.81221526973809</v>
      </c>
      <c r="G39" s="3">
        <f t="shared" si="1"/>
        <v>35.010040350983765</v>
      </c>
      <c r="H39" s="20">
        <v>3.24</v>
      </c>
      <c r="I39" s="2">
        <v>1000.2</v>
      </c>
      <c r="J39" s="2">
        <v>350.10476999999997</v>
      </c>
      <c r="K39" s="2">
        <f t="shared" si="2"/>
        <v>999.80003999200164</v>
      </c>
      <c r="L39" s="2">
        <f t="shared" si="3"/>
        <v>35.003476304739053</v>
      </c>
      <c r="M39" s="20">
        <f t="shared" si="9"/>
        <v>1.1550000000000002</v>
      </c>
      <c r="N39" s="2">
        <f t="shared" si="4"/>
        <v>2.5329120999999954E-2</v>
      </c>
      <c r="O39" s="50">
        <v>1.13402</v>
      </c>
      <c r="P39" s="48">
        <v>1.159349121</v>
      </c>
      <c r="Q39" s="2">
        <v>351.68361499999997</v>
      </c>
      <c r="R39" s="37">
        <f t="shared" si="5"/>
        <v>1.5788450000000012</v>
      </c>
      <c r="S39" s="41">
        <f t="shared" si="6"/>
        <v>0.44893902719920609</v>
      </c>
      <c r="T39" s="44">
        <f t="shared" si="7"/>
        <v>4.3491209999997338E-3</v>
      </c>
      <c r="U39" s="3">
        <f t="shared" si="8"/>
        <v>0.37654727272724958</v>
      </c>
    </row>
    <row r="40" spans="2:21">
      <c r="B40" s="25">
        <v>36</v>
      </c>
      <c r="C40" s="20">
        <v>3.28</v>
      </c>
      <c r="D40" s="2">
        <v>1000.27755</v>
      </c>
      <c r="E40" s="2">
        <v>360.15071</v>
      </c>
      <c r="F40" s="2">
        <f t="shared" si="0"/>
        <v>999.72252701262755</v>
      </c>
      <c r="G40" s="3">
        <f t="shared" si="1"/>
        <v>36.025066982956055</v>
      </c>
      <c r="H40" s="20">
        <v>3.24</v>
      </c>
      <c r="I40" s="2">
        <v>1000.24</v>
      </c>
      <c r="J40" s="2">
        <v>360.13506999999902</v>
      </c>
      <c r="K40" s="2">
        <f t="shared" si="2"/>
        <v>999.76005758617919</v>
      </c>
      <c r="L40" s="2">
        <f t="shared" si="3"/>
        <v>36.004865832200174</v>
      </c>
      <c r="M40" s="20">
        <f t="shared" si="9"/>
        <v>1.1880000000000002</v>
      </c>
      <c r="N40" s="2">
        <f t="shared" si="4"/>
        <v>2.5738116000000089E-2</v>
      </c>
      <c r="O40" s="50">
        <v>1.16642</v>
      </c>
      <c r="P40" s="48">
        <v>1.1921581160000001</v>
      </c>
      <c r="Q40" s="2">
        <v>361.64873740000002</v>
      </c>
      <c r="R40" s="37">
        <f t="shared" si="5"/>
        <v>1.5136674000009975</v>
      </c>
      <c r="S40" s="41">
        <f t="shared" si="6"/>
        <v>0.41854629740537769</v>
      </c>
      <c r="T40" s="44">
        <f t="shared" si="7"/>
        <v>4.158115999999934E-3</v>
      </c>
      <c r="U40" s="3">
        <f t="shared" si="8"/>
        <v>0.35000976430975872</v>
      </c>
    </row>
    <row r="41" spans="2:21">
      <c r="B41" s="25">
        <v>37</v>
      </c>
      <c r="C41" s="20">
        <v>3.28</v>
      </c>
      <c r="D41" s="2">
        <v>1000.35999999999</v>
      </c>
      <c r="E41" s="2">
        <v>370.073749999999</v>
      </c>
      <c r="F41" s="2">
        <f t="shared" si="0"/>
        <v>999.6401295533708</v>
      </c>
      <c r="G41" s="3">
        <f t="shared" si="1"/>
        <v>37.02069765499953</v>
      </c>
      <c r="H41" s="20">
        <v>3.24</v>
      </c>
      <c r="I41" s="2">
        <v>1000.25999999999</v>
      </c>
      <c r="J41" s="2">
        <v>370.14159999999998</v>
      </c>
      <c r="K41" s="2">
        <f t="shared" si="2"/>
        <v>999.74006758243866</v>
      </c>
      <c r="L41" s="2">
        <f t="shared" si="3"/>
        <v>37.004538819907197</v>
      </c>
      <c r="M41" s="20">
        <f t="shared" si="9"/>
        <v>1.2210000000000001</v>
      </c>
      <c r="N41" s="2">
        <f t="shared" si="4"/>
        <v>2.6140357000000058E-2</v>
      </c>
      <c r="O41" s="50">
        <v>1.19882</v>
      </c>
      <c r="P41" s="48">
        <v>1.2249603570000001</v>
      </c>
      <c r="Q41" s="2">
        <v>371.58795730000003</v>
      </c>
      <c r="R41" s="37">
        <f t="shared" si="5"/>
        <v>1.4463573000000451</v>
      </c>
      <c r="S41" s="41">
        <f t="shared" si="6"/>
        <v>0.38923686077165698</v>
      </c>
      <c r="T41" s="44">
        <f t="shared" si="7"/>
        <v>3.9603569999999699E-3</v>
      </c>
      <c r="U41" s="3">
        <f t="shared" si="8"/>
        <v>0.32435356265356019</v>
      </c>
    </row>
    <row r="42" spans="2:21">
      <c r="B42" s="25">
        <v>38</v>
      </c>
      <c r="C42" s="20">
        <v>3.28</v>
      </c>
      <c r="D42" s="2">
        <v>1000.1994999999999</v>
      </c>
      <c r="E42" s="2">
        <v>380.11279999999999</v>
      </c>
      <c r="F42" s="2">
        <f t="shared" si="0"/>
        <v>999.8005397923115</v>
      </c>
      <c r="G42" s="3">
        <f t="shared" si="1"/>
        <v>38.018863250359999</v>
      </c>
      <c r="H42" s="20">
        <v>3.24</v>
      </c>
      <c r="I42" s="2">
        <v>1000.15</v>
      </c>
      <c r="J42" s="2">
        <v>380.09455999999898</v>
      </c>
      <c r="K42" s="2">
        <f t="shared" si="2"/>
        <v>999.85002249662546</v>
      </c>
      <c r="L42" s="2">
        <f t="shared" si="3"/>
        <v>38.003755436684393</v>
      </c>
      <c r="M42" s="20">
        <f t="shared" si="9"/>
        <v>1.254</v>
      </c>
      <c r="N42" s="2">
        <f t="shared" si="4"/>
        <v>2.658486300000007E-2</v>
      </c>
      <c r="O42" s="50">
        <v>1.23122</v>
      </c>
      <c r="P42" s="48">
        <v>1.2578048630000001</v>
      </c>
      <c r="Q42" s="2">
        <v>381.53043170000001</v>
      </c>
      <c r="R42" s="37">
        <f t="shared" si="5"/>
        <v>1.4358717000010301</v>
      </c>
      <c r="S42" s="41">
        <f t="shared" si="6"/>
        <v>0.37634526126871731</v>
      </c>
      <c r="T42" s="44">
        <f t="shared" si="7"/>
        <v>3.8048630000000472E-3</v>
      </c>
      <c r="U42" s="3">
        <f t="shared" si="8"/>
        <v>0.303418102073369</v>
      </c>
    </row>
    <row r="43" spans="2:21">
      <c r="B43" s="25">
        <v>39</v>
      </c>
      <c r="C43" s="20">
        <v>3.28</v>
      </c>
      <c r="D43" s="2">
        <v>1000.2</v>
      </c>
      <c r="E43" s="2">
        <v>390.08116999999999</v>
      </c>
      <c r="F43" s="2">
        <f t="shared" si="0"/>
        <v>999.80003999200164</v>
      </c>
      <c r="G43" s="3">
        <f t="shared" si="1"/>
        <v>39.015918623399998</v>
      </c>
      <c r="H43" s="20">
        <v>3.24</v>
      </c>
      <c r="I43" s="2">
        <v>1000.21</v>
      </c>
      <c r="J43" s="2">
        <v>390.03928000000002</v>
      </c>
      <c r="K43" s="2">
        <f t="shared" si="2"/>
        <v>999.79004409074105</v>
      </c>
      <c r="L43" s="2">
        <f t="shared" si="3"/>
        <v>38.995738894832087</v>
      </c>
      <c r="M43" s="20">
        <f t="shared" si="9"/>
        <v>1.2869999999999999</v>
      </c>
      <c r="N43" s="2">
        <f t="shared" si="4"/>
        <v>2.6884477000000073E-2</v>
      </c>
      <c r="O43" s="50">
        <v>1.26362</v>
      </c>
      <c r="P43" s="48">
        <v>1.290504477</v>
      </c>
      <c r="Q43" s="2">
        <v>391.47305060000002</v>
      </c>
      <c r="R43" s="37">
        <f t="shared" si="5"/>
        <v>1.4337706000000026</v>
      </c>
      <c r="S43" s="41">
        <f t="shared" si="6"/>
        <v>0.36625014105121712</v>
      </c>
      <c r="T43" s="44">
        <f t="shared" si="7"/>
        <v>3.5044770000001169E-3</v>
      </c>
      <c r="U43" s="3">
        <f t="shared" si="8"/>
        <v>0.27229813519814428</v>
      </c>
    </row>
    <row r="44" spans="2:21">
      <c r="B44" s="25">
        <v>40</v>
      </c>
      <c r="C44" s="20">
        <v>3.28</v>
      </c>
      <c r="D44" s="2">
        <v>1000.31999999999</v>
      </c>
      <c r="E44" s="2">
        <v>400.04441000000003</v>
      </c>
      <c r="F44" s="2">
        <f t="shared" si="0"/>
        <v>999.6801023672524</v>
      </c>
      <c r="G44" s="3">
        <f t="shared" si="1"/>
        <v>40.017242421119605</v>
      </c>
      <c r="H44" s="20">
        <v>3.24</v>
      </c>
      <c r="I44" s="2">
        <v>1000.23</v>
      </c>
      <c r="J44" s="2">
        <v>400.09194000000002</v>
      </c>
      <c r="K44" s="2">
        <f t="shared" si="2"/>
        <v>999.77005288783573</v>
      </c>
      <c r="L44" s="2">
        <f t="shared" si="3"/>
        <v>39.999994001379683</v>
      </c>
      <c r="M44" s="20">
        <f t="shared" si="9"/>
        <v>1.3199999999999998</v>
      </c>
      <c r="N44" s="2">
        <f t="shared" si="4"/>
        <v>2.7320177000000001E-2</v>
      </c>
      <c r="O44" s="50">
        <v>1.2960199999999999</v>
      </c>
      <c r="P44" s="48">
        <v>1.323340177</v>
      </c>
      <c r="Q44" s="2">
        <v>401.42852199999999</v>
      </c>
      <c r="R44" s="37">
        <f t="shared" si="5"/>
        <v>1.3365819999999644</v>
      </c>
      <c r="S44" s="41">
        <f t="shared" si="6"/>
        <v>0.33295641110423252</v>
      </c>
      <c r="T44" s="44">
        <f t="shared" si="7"/>
        <v>3.3401770000001108E-3</v>
      </c>
      <c r="U44" s="3">
        <f t="shared" si="8"/>
        <v>0.25304371212122057</v>
      </c>
    </row>
    <row r="45" spans="2:21">
      <c r="B45" s="25">
        <v>41</v>
      </c>
      <c r="C45" s="20">
        <v>3.28</v>
      </c>
      <c r="D45" s="2">
        <v>1000.28</v>
      </c>
      <c r="E45" s="2">
        <v>409.76179999999903</v>
      </c>
      <c r="F45" s="2">
        <f t="shared" si="0"/>
        <v>999.72007837805427</v>
      </c>
      <c r="G45" s="3">
        <f t="shared" si="1"/>
        <v>40.987653330399901</v>
      </c>
      <c r="H45" s="20">
        <v>3.24</v>
      </c>
      <c r="I45" s="2">
        <v>1000.2</v>
      </c>
      <c r="J45" s="2">
        <v>409.90929</v>
      </c>
      <c r="K45" s="2">
        <f t="shared" si="2"/>
        <v>999.80003999200164</v>
      </c>
      <c r="L45" s="2">
        <f t="shared" si="3"/>
        <v>40.9827324535093</v>
      </c>
      <c r="M45" s="20">
        <f t="shared" si="9"/>
        <v>1.3529999999999998</v>
      </c>
      <c r="N45" s="2">
        <f t="shared" si="4"/>
        <v>2.6917959000000158E-2</v>
      </c>
      <c r="O45" s="50">
        <v>1.3284199999999999</v>
      </c>
      <c r="P45" s="48">
        <v>1.3553379590000001</v>
      </c>
      <c r="Q45" s="2">
        <v>411.12564850000001</v>
      </c>
      <c r="R45" s="37">
        <f t="shared" si="5"/>
        <v>1.2163585000000126</v>
      </c>
      <c r="S45" s="41">
        <f t="shared" si="6"/>
        <v>0.29586052449851291</v>
      </c>
      <c r="T45" s="44">
        <f t="shared" si="7"/>
        <v>2.3379590000003336E-3</v>
      </c>
      <c r="U45" s="3">
        <f t="shared" si="8"/>
        <v>0.17279815225427453</v>
      </c>
    </row>
    <row r="46" spans="2:21">
      <c r="B46" s="25">
        <v>42</v>
      </c>
      <c r="C46" s="20">
        <v>3.28</v>
      </c>
      <c r="D46" s="2">
        <v>1000.31910999999</v>
      </c>
      <c r="E46" s="2">
        <v>419.91104999999902</v>
      </c>
      <c r="F46" s="2">
        <f t="shared" si="0"/>
        <v>999.68099179871717</v>
      </c>
      <c r="G46" s="3">
        <f t="shared" si="1"/>
        <v>42.004504781516026</v>
      </c>
      <c r="H46" s="20">
        <v>3.24</v>
      </c>
      <c r="I46" s="2">
        <v>1000.2</v>
      </c>
      <c r="J46" s="2">
        <v>419.79475000000002</v>
      </c>
      <c r="K46" s="2">
        <f t="shared" si="2"/>
        <v>999.80003999200164</v>
      </c>
      <c r="L46" s="2">
        <f t="shared" si="3"/>
        <v>41.971080783843234</v>
      </c>
      <c r="M46" s="20">
        <f t="shared" si="9"/>
        <v>1.3859999999999997</v>
      </c>
      <c r="N46" s="2">
        <f t="shared" si="4"/>
        <v>2.7296514999989974E-2</v>
      </c>
      <c r="O46" s="50">
        <v>1.3608199999999999</v>
      </c>
      <c r="P46" s="48">
        <v>1.3881165149999899</v>
      </c>
      <c r="Q46" s="2">
        <v>421.06231320000001</v>
      </c>
      <c r="R46" s="37">
        <f t="shared" si="5"/>
        <v>1.2675631999999837</v>
      </c>
      <c r="S46" s="41">
        <f t="shared" si="6"/>
        <v>0.30103933794661525</v>
      </c>
      <c r="T46" s="44">
        <f t="shared" si="7"/>
        <v>2.1165149999902155E-3</v>
      </c>
      <c r="U46" s="3">
        <f t="shared" si="8"/>
        <v>0.15270670995600402</v>
      </c>
    </row>
    <row r="47" spans="2:21">
      <c r="B47" s="25">
        <v>43</v>
      </c>
      <c r="C47" s="20">
        <v>3.28</v>
      </c>
      <c r="D47" s="2">
        <v>1000.15948</v>
      </c>
      <c r="E47" s="2">
        <v>429.87875000000003</v>
      </c>
      <c r="F47" s="2">
        <f t="shared" si="0"/>
        <v>999.84054542981494</v>
      </c>
      <c r="G47" s="3">
        <f t="shared" si="1"/>
        <v>42.994730706304999</v>
      </c>
      <c r="H47" s="20">
        <v>3.24</v>
      </c>
      <c r="I47" s="2">
        <v>1000.26</v>
      </c>
      <c r="J47" s="2">
        <v>429.816409999999</v>
      </c>
      <c r="K47" s="2">
        <f t="shared" si="2"/>
        <v>999.74006758242865</v>
      </c>
      <c r="L47" s="2">
        <f t="shared" si="3"/>
        <v>42.970468678143583</v>
      </c>
      <c r="M47" s="20">
        <f t="shared" si="9"/>
        <v>1.4189999999999996</v>
      </c>
      <c r="N47" s="2">
        <f t="shared" si="4"/>
        <v>2.76714289999902E-2</v>
      </c>
      <c r="O47" s="50">
        <v>1.3932199999999999</v>
      </c>
      <c r="P47" s="48">
        <v>1.4208914289999901</v>
      </c>
      <c r="Q47" s="2">
        <v>431.02115579999997</v>
      </c>
      <c r="R47" s="37">
        <f t="shared" si="5"/>
        <v>1.2047458000009783</v>
      </c>
      <c r="S47" s="41">
        <f t="shared" si="6"/>
        <v>0.2795096676321841</v>
      </c>
      <c r="T47" s="44">
        <f t="shared" si="7"/>
        <v>1.8914289999905076E-3</v>
      </c>
      <c r="U47" s="3">
        <f t="shared" si="8"/>
        <v>0.13329309372730852</v>
      </c>
    </row>
    <row r="48" spans="2:21">
      <c r="B48" s="25">
        <v>44</v>
      </c>
      <c r="C48" s="20">
        <v>3.28</v>
      </c>
      <c r="D48" s="2">
        <v>1000.1969299999899</v>
      </c>
      <c r="E48" s="2">
        <v>439.79455000000002</v>
      </c>
      <c r="F48" s="2">
        <f t="shared" si="0"/>
        <v>999.80310877379929</v>
      </c>
      <c r="G48" s="3">
        <f t="shared" si="1"/>
        <v>43.988115874072712</v>
      </c>
      <c r="H48" s="20">
        <v>3.24</v>
      </c>
      <c r="I48" s="2">
        <v>1000.15</v>
      </c>
      <c r="J48" s="2">
        <v>439.80020999999903</v>
      </c>
      <c r="K48" s="2">
        <f t="shared" si="2"/>
        <v>999.85002249662546</v>
      </c>
      <c r="L48" s="2">
        <f t="shared" si="3"/>
        <v>43.973424986251963</v>
      </c>
      <c r="M48" s="20">
        <f t="shared" si="9"/>
        <v>1.4519999999999995</v>
      </c>
      <c r="N48" s="2">
        <f t="shared" si="4"/>
        <v>2.8182028999999886E-2</v>
      </c>
      <c r="O48" s="50">
        <v>1.4256200000000001</v>
      </c>
      <c r="P48" s="48">
        <v>1.453802029</v>
      </c>
      <c r="Q48" s="2">
        <v>440.97788120000001</v>
      </c>
      <c r="R48" s="37">
        <f t="shared" si="5"/>
        <v>1.1776712000009866</v>
      </c>
      <c r="S48" s="41">
        <f t="shared" si="6"/>
        <v>0.26705901819752914</v>
      </c>
      <c r="T48" s="44">
        <f t="shared" si="7"/>
        <v>1.8020290000004824E-3</v>
      </c>
      <c r="U48" s="3">
        <f t="shared" si="8"/>
        <v>0.12410668044080461</v>
      </c>
    </row>
    <row r="49" spans="2:21">
      <c r="B49" s="25">
        <v>45</v>
      </c>
      <c r="C49" s="20">
        <v>3.28</v>
      </c>
      <c r="D49" s="2">
        <v>1000.27951999999</v>
      </c>
      <c r="E49" s="2">
        <v>449.67540999999898</v>
      </c>
      <c r="F49" s="2">
        <f t="shared" si="0"/>
        <v>999.72055810960705</v>
      </c>
      <c r="G49" s="3">
        <f t="shared" si="1"/>
        <v>44.980110327059776</v>
      </c>
      <c r="H49" s="20">
        <v>3.24</v>
      </c>
      <c r="I49" s="2">
        <v>1000.17</v>
      </c>
      <c r="J49" s="2">
        <v>449.74360999999999</v>
      </c>
      <c r="K49" s="2">
        <f t="shared" si="2"/>
        <v>999.83002889508782</v>
      </c>
      <c r="L49" s="2">
        <f t="shared" si="3"/>
        <v>44.96671665816811</v>
      </c>
      <c r="M49" s="20">
        <f t="shared" si="9"/>
        <v>1.4849999999999994</v>
      </c>
      <c r="N49" s="2">
        <f t="shared" si="4"/>
        <v>2.8378992999999797E-2</v>
      </c>
      <c r="O49" s="50">
        <v>1.4580200000000001</v>
      </c>
      <c r="P49" s="48">
        <v>1.4863989929999999</v>
      </c>
      <c r="Q49" s="2">
        <v>450.89995740000001</v>
      </c>
      <c r="R49" s="37">
        <f t="shared" si="5"/>
        <v>1.1563474000000156</v>
      </c>
      <c r="S49" s="41">
        <f t="shared" si="6"/>
        <v>0.25645320675295669</v>
      </c>
      <c r="T49" s="44">
        <f t="shared" si="7"/>
        <v>1.3989930000004591E-3</v>
      </c>
      <c r="U49" s="3">
        <f t="shared" si="8"/>
        <v>9.4208282828313783E-2</v>
      </c>
    </row>
    <row r="50" spans="2:21">
      <c r="B50" s="25">
        <v>46</v>
      </c>
      <c r="C50" s="20">
        <v>3.28</v>
      </c>
      <c r="D50" s="2">
        <v>1000.19802</v>
      </c>
      <c r="E50" s="2">
        <v>459.79512999999997</v>
      </c>
      <c r="F50" s="2">
        <f t="shared" si="0"/>
        <v>999.80201920415709</v>
      </c>
      <c r="G50" s="3">
        <f t="shared" si="1"/>
        <v>45.988617863164258</v>
      </c>
      <c r="H50" s="20">
        <v>3.24</v>
      </c>
      <c r="I50" s="2">
        <v>1000.17</v>
      </c>
      <c r="J50" s="2">
        <v>459.81997999999999</v>
      </c>
      <c r="K50" s="2">
        <f t="shared" si="2"/>
        <v>999.83002889508782</v>
      </c>
      <c r="L50" s="2">
        <f t="shared" si="3"/>
        <v>45.974182388993874</v>
      </c>
      <c r="M50" s="20">
        <f t="shared" si="9"/>
        <v>1.5179999999999993</v>
      </c>
      <c r="N50" s="2">
        <f t="shared" si="4"/>
        <v>2.8763375999999896E-2</v>
      </c>
      <c r="O50" s="50">
        <v>1.4904200000000001</v>
      </c>
      <c r="P50" s="48">
        <v>1.519183376</v>
      </c>
      <c r="Q50" s="2">
        <v>460.8342351</v>
      </c>
      <c r="R50" s="37">
        <f t="shared" si="5"/>
        <v>1.014255100000014</v>
      </c>
      <c r="S50" s="41">
        <f t="shared" si="6"/>
        <v>0.22009109192591189</v>
      </c>
      <c r="T50" s="44">
        <f t="shared" si="7"/>
        <v>1.1833760000006244E-3</v>
      </c>
      <c r="U50" s="3">
        <f t="shared" si="8"/>
        <v>7.7956258234560261E-2</v>
      </c>
    </row>
    <row r="51" spans="2:21">
      <c r="B51" s="25">
        <v>47</v>
      </c>
      <c r="C51" s="20">
        <v>3.28</v>
      </c>
      <c r="D51" s="2">
        <v>1000.1876099999999</v>
      </c>
      <c r="E51" s="2">
        <v>469.78385999999898</v>
      </c>
      <c r="F51" s="2">
        <f t="shared" si="0"/>
        <v>999.81242519090995</v>
      </c>
      <c r="G51" s="3">
        <f t="shared" si="1"/>
        <v>46.987199614997351</v>
      </c>
      <c r="H51" s="20">
        <v>3.24</v>
      </c>
      <c r="I51" s="2">
        <v>1000.17</v>
      </c>
      <c r="J51" s="2">
        <v>469.75009</v>
      </c>
      <c r="K51" s="2">
        <f t="shared" si="2"/>
        <v>999.83002889508782</v>
      </c>
      <c r="L51" s="2">
        <f t="shared" si="3"/>
        <v>46.967024605817016</v>
      </c>
      <c r="M51" s="20">
        <f t="shared" si="9"/>
        <v>1.5509999999999993</v>
      </c>
      <c r="N51" s="2">
        <f t="shared" si="4"/>
        <v>2.9203160999999866E-2</v>
      </c>
      <c r="O51" s="50">
        <v>1.5228200000000001</v>
      </c>
      <c r="P51" s="48">
        <v>1.5520231609999999</v>
      </c>
      <c r="Q51" s="2">
        <v>470.78582410000001</v>
      </c>
      <c r="R51" s="37">
        <f t="shared" si="5"/>
        <v>1.0357341000000133</v>
      </c>
      <c r="S51" s="41">
        <f t="shared" si="6"/>
        <v>0.22000112301172689</v>
      </c>
      <c r="T51" s="44">
        <f t="shared" si="7"/>
        <v>1.0231610000006608E-3</v>
      </c>
      <c r="U51" s="3">
        <f t="shared" si="8"/>
        <v>6.5967827208295374E-2</v>
      </c>
    </row>
    <row r="52" spans="2:21">
      <c r="B52" s="25">
        <v>48</v>
      </c>
      <c r="C52" s="20">
        <v>3.28</v>
      </c>
      <c r="D52" s="2">
        <v>1000.07898</v>
      </c>
      <c r="E52" s="2">
        <v>479.79262999999997</v>
      </c>
      <c r="F52" s="2">
        <f t="shared" si="0"/>
        <v>999.92102623734775</v>
      </c>
      <c r="G52" s="3">
        <f t="shared" si="1"/>
        <v>47.983052402191738</v>
      </c>
      <c r="H52" s="20">
        <v>3.24</v>
      </c>
      <c r="I52" s="2">
        <v>1000.2</v>
      </c>
      <c r="J52" s="2">
        <v>479.77508999999901</v>
      </c>
      <c r="K52" s="2">
        <f t="shared" si="2"/>
        <v>999.80003999200164</v>
      </c>
      <c r="L52" s="2">
        <f t="shared" si="3"/>
        <v>47.967915416916519</v>
      </c>
      <c r="M52" s="20">
        <f t="shared" si="9"/>
        <v>1.5839999999999992</v>
      </c>
      <c r="N52" s="2">
        <f t="shared" si="4"/>
        <v>2.9566333999999861E-2</v>
      </c>
      <c r="O52" s="50">
        <v>1.55522</v>
      </c>
      <c r="P52" s="48">
        <v>1.5847863339999999</v>
      </c>
      <c r="Q52" s="2">
        <v>480.7269809</v>
      </c>
      <c r="R52" s="37">
        <f t="shared" si="5"/>
        <v>0.95189090000098986</v>
      </c>
      <c r="S52" s="41">
        <f t="shared" si="6"/>
        <v>0.19801070832739476</v>
      </c>
      <c r="T52" s="44">
        <f t="shared" si="7"/>
        <v>7.8633400000072129E-4</v>
      </c>
      <c r="U52" s="3">
        <f t="shared" si="8"/>
        <v>4.9642297979843535E-2</v>
      </c>
    </row>
    <row r="53" spans="2:21">
      <c r="B53" s="25">
        <v>49</v>
      </c>
      <c r="C53" s="20">
        <v>3.28</v>
      </c>
      <c r="D53" s="2">
        <v>1000.22956999999</v>
      </c>
      <c r="E53" s="2">
        <v>489.87302999999901</v>
      </c>
      <c r="F53" s="2">
        <f t="shared" si="0"/>
        <v>999.77048269029888</v>
      </c>
      <c r="G53" s="3">
        <f t="shared" si="1"/>
        <v>48.998549015149116</v>
      </c>
      <c r="H53" s="20">
        <v>3.24</v>
      </c>
      <c r="I53" s="2">
        <v>1000.2</v>
      </c>
      <c r="J53" s="2">
        <v>489.74194999999997</v>
      </c>
      <c r="K53" s="2">
        <f t="shared" si="2"/>
        <v>999.80003999200164</v>
      </c>
      <c r="L53" s="2">
        <f t="shared" si="3"/>
        <v>48.964402119576079</v>
      </c>
      <c r="M53" s="20">
        <f t="shared" si="9"/>
        <v>1.6169999999999991</v>
      </c>
      <c r="N53" s="2">
        <f t="shared" si="4"/>
        <v>2.9920819999990078E-2</v>
      </c>
      <c r="O53" s="50">
        <v>1.58762</v>
      </c>
      <c r="P53" s="48">
        <v>1.6175408199999901</v>
      </c>
      <c r="Q53" s="2">
        <v>490.66641529999998</v>
      </c>
      <c r="R53" s="37">
        <f t="shared" si="5"/>
        <v>0.92446530000000848</v>
      </c>
      <c r="S53" s="41">
        <f t="shared" si="6"/>
        <v>0.18841014407614959</v>
      </c>
      <c r="T53" s="44">
        <f t="shared" si="7"/>
        <v>5.4081999999100461E-4</v>
      </c>
      <c r="U53" s="3">
        <f t="shared" si="8"/>
        <v>3.3445887445331161E-2</v>
      </c>
    </row>
    <row r="54" spans="2:21">
      <c r="B54" s="25">
        <v>50</v>
      </c>
      <c r="C54" s="20">
        <v>3.28</v>
      </c>
      <c r="D54" s="2">
        <v>1000.23412999999</v>
      </c>
      <c r="E54" s="2">
        <v>499.66356000000002</v>
      </c>
      <c r="F54" s="2">
        <f t="shared" si="0"/>
        <v>999.76592480403554</v>
      </c>
      <c r="G54" s="3">
        <f t="shared" si="1"/>
        <v>49.978054622929783</v>
      </c>
      <c r="H54" s="20">
        <v>3.24</v>
      </c>
      <c r="I54" s="2">
        <v>1000.19</v>
      </c>
      <c r="J54" s="2">
        <v>499.82408999999899</v>
      </c>
      <c r="K54" s="2">
        <f t="shared" si="2"/>
        <v>999.81003609314223</v>
      </c>
      <c r="L54" s="2">
        <f t="shared" si="3"/>
        <v>49.9729141463121</v>
      </c>
      <c r="M54" s="20">
        <f t="shared" si="9"/>
        <v>1.649999999999999</v>
      </c>
      <c r="N54" s="2">
        <f t="shared" si="4"/>
        <v>3.0225747000000025E-2</v>
      </c>
      <c r="O54" s="50">
        <v>1.62002</v>
      </c>
      <c r="P54" s="48">
        <v>1.650245747</v>
      </c>
      <c r="Q54" s="2">
        <v>500.5981453</v>
      </c>
      <c r="R54" s="37">
        <f t="shared" si="5"/>
        <v>0.77405530000100953</v>
      </c>
      <c r="S54" s="41">
        <f t="shared" si="6"/>
        <v>0.15462608227146574</v>
      </c>
      <c r="T54" s="44">
        <f t="shared" si="7"/>
        <v>2.4574700000101757E-4</v>
      </c>
      <c r="U54" s="3">
        <f t="shared" si="8"/>
        <v>1.4893757575819256E-2</v>
      </c>
    </row>
    <row r="55" spans="2:21">
      <c r="B55" s="25">
        <v>51</v>
      </c>
      <c r="C55" s="20">
        <v>3.28</v>
      </c>
      <c r="D55" s="2">
        <v>1000.21791999999</v>
      </c>
      <c r="E55" s="2">
        <v>509.70486</v>
      </c>
      <c r="F55" s="2">
        <f t="shared" si="0"/>
        <v>999.78212747878979</v>
      </c>
      <c r="G55" s="3">
        <f t="shared" si="1"/>
        <v>50.981593488308604</v>
      </c>
      <c r="H55" s="20">
        <v>3.24</v>
      </c>
      <c r="I55" s="2">
        <v>1000.12</v>
      </c>
      <c r="J55" s="2">
        <v>509.72811000000002</v>
      </c>
      <c r="K55" s="2">
        <f t="shared" si="2"/>
        <v>999.88001439827212</v>
      </c>
      <c r="L55" s="2">
        <f t="shared" si="3"/>
        <v>50.966694996600417</v>
      </c>
      <c r="M55" s="20">
        <f t="shared" si="9"/>
        <v>1.6829999999999989</v>
      </c>
      <c r="N55" s="2">
        <f t="shared" si="4"/>
        <v>3.0594226999999918E-2</v>
      </c>
      <c r="O55" s="50">
        <v>1.65242</v>
      </c>
      <c r="P55" s="48">
        <v>1.6830142269999999</v>
      </c>
      <c r="Q55" s="2">
        <v>510.53290520000002</v>
      </c>
      <c r="R55" s="37">
        <f t="shared" si="5"/>
        <v>0.80479520000000093</v>
      </c>
      <c r="S55" s="41">
        <f t="shared" si="6"/>
        <v>0.15763826225553951</v>
      </c>
      <c r="T55" s="44">
        <f t="shared" si="7"/>
        <v>1.4227000000976986E-5</v>
      </c>
      <c r="U55" s="3">
        <f t="shared" si="8"/>
        <v>8.4533571009964327E-4</v>
      </c>
    </row>
    <row r="56" spans="2:21">
      <c r="B56" s="25">
        <v>52</v>
      </c>
      <c r="C56" s="20">
        <v>3.28</v>
      </c>
      <c r="D56" s="2">
        <v>1000.15792</v>
      </c>
      <c r="E56" s="2">
        <v>519.74500999999998</v>
      </c>
      <c r="F56" s="2">
        <f t="shared" si="0"/>
        <v>999.84210493478861</v>
      </c>
      <c r="G56" s="3">
        <f t="shared" si="1"/>
        <v>51.982708813197917</v>
      </c>
      <c r="H56" s="20">
        <v>3.24</v>
      </c>
      <c r="I56" s="2">
        <v>1000.1899999999901</v>
      </c>
      <c r="J56" s="2">
        <v>519.75100999999995</v>
      </c>
      <c r="K56" s="2">
        <f t="shared" si="2"/>
        <v>999.81003609315223</v>
      </c>
      <c r="L56" s="2">
        <f t="shared" si="3"/>
        <v>51.965227606755228</v>
      </c>
      <c r="M56" s="20">
        <f t="shared" si="9"/>
        <v>1.7159999999999989</v>
      </c>
      <c r="N56" s="2">
        <f t="shared" si="4"/>
        <v>3.0961852999999984E-2</v>
      </c>
      <c r="O56" s="50">
        <v>1.68482</v>
      </c>
      <c r="P56" s="48">
        <v>1.715781853</v>
      </c>
      <c r="Q56" s="2">
        <v>520.48374560000002</v>
      </c>
      <c r="R56" s="37">
        <f t="shared" si="5"/>
        <v>0.7327356000000691</v>
      </c>
      <c r="S56" s="41">
        <f t="shared" si="6"/>
        <v>0.14077972774258124</v>
      </c>
      <c r="T56" s="44">
        <f t="shared" si="7"/>
        <v>2.1814699999889164E-4</v>
      </c>
      <c r="U56" s="3">
        <f t="shared" si="8"/>
        <v>1.2712529137464556E-2</v>
      </c>
    </row>
    <row r="57" spans="2:21">
      <c r="B57" s="25">
        <v>53</v>
      </c>
      <c r="C57" s="20">
        <v>3.28</v>
      </c>
      <c r="D57" s="2">
        <v>1000.29</v>
      </c>
      <c r="E57" s="2">
        <v>529.75316999999995</v>
      </c>
      <c r="F57" s="2">
        <f t="shared" si="0"/>
        <v>999.71008407561806</v>
      </c>
      <c r="G57" s="3">
        <f t="shared" si="1"/>
        <v>52.990679841930003</v>
      </c>
      <c r="H57" s="20">
        <v>3.24</v>
      </c>
      <c r="I57" s="2">
        <v>1000.2</v>
      </c>
      <c r="J57" s="2">
        <v>529.69475</v>
      </c>
      <c r="K57" s="2">
        <f t="shared" si="2"/>
        <v>999.80003999200164</v>
      </c>
      <c r="L57" s="2">
        <f t="shared" si="3"/>
        <v>52.958883223355322</v>
      </c>
      <c r="M57" s="20">
        <f t="shared" si="9"/>
        <v>1.7489999999999988</v>
      </c>
      <c r="N57" s="2">
        <f t="shared" si="4"/>
        <v>3.1342026999990003E-2</v>
      </c>
      <c r="O57" s="50">
        <v>1.71722</v>
      </c>
      <c r="P57" s="48">
        <v>1.74856202699999</v>
      </c>
      <c r="Q57" s="2">
        <v>530.43128409999997</v>
      </c>
      <c r="R57" s="37">
        <f t="shared" si="5"/>
        <v>0.73653409999997166</v>
      </c>
      <c r="S57" s="41">
        <f t="shared" si="6"/>
        <v>0.1388557051738894</v>
      </c>
      <c r="T57" s="44">
        <f t="shared" si="7"/>
        <v>4.3797300000880668E-4</v>
      </c>
      <c r="U57" s="3">
        <f t="shared" si="8"/>
        <v>2.5041337907879185E-2</v>
      </c>
    </row>
    <row r="58" spans="2:21">
      <c r="B58" s="25">
        <v>54</v>
      </c>
      <c r="C58" s="20">
        <v>3.28</v>
      </c>
      <c r="D58" s="2">
        <v>1000.23651999999</v>
      </c>
      <c r="E58" s="2">
        <v>539.67556000000002</v>
      </c>
      <c r="F58" s="2">
        <f t="shared" si="0"/>
        <v>999.76353592849216</v>
      </c>
      <c r="G58" s="3">
        <f t="shared" si="1"/>
        <v>53.980320406344582</v>
      </c>
      <c r="H58" s="20">
        <v>3.24</v>
      </c>
      <c r="I58" s="2">
        <v>1000.18</v>
      </c>
      <c r="J58" s="2">
        <v>539.72748000000001</v>
      </c>
      <c r="K58" s="2">
        <f t="shared" si="2"/>
        <v>999.82003239416917</v>
      </c>
      <c r="L58" s="2">
        <f t="shared" si="3"/>
        <v>53.963034653762335</v>
      </c>
      <c r="M58" s="20">
        <f t="shared" si="9"/>
        <v>1.7819999999999987</v>
      </c>
      <c r="N58" s="2">
        <f t="shared" si="4"/>
        <v>3.1797799000000015E-2</v>
      </c>
      <c r="O58" s="50">
        <v>1.74962</v>
      </c>
      <c r="P58" s="48">
        <v>1.781417799</v>
      </c>
      <c r="Q58" s="2">
        <v>540.35401239999999</v>
      </c>
      <c r="R58" s="37">
        <f t="shared" si="5"/>
        <v>0.62653239999997368</v>
      </c>
      <c r="S58" s="41">
        <f t="shared" si="6"/>
        <v>0.11594850516927033</v>
      </c>
      <c r="T58" s="44">
        <f t="shared" si="7"/>
        <v>5.8220099999872765E-4</v>
      </c>
      <c r="U58" s="3">
        <f t="shared" si="8"/>
        <v>3.2671212121140741E-2</v>
      </c>
    </row>
    <row r="59" spans="2:21">
      <c r="B59" s="25">
        <v>55</v>
      </c>
      <c r="C59" s="20">
        <v>3.28</v>
      </c>
      <c r="D59" s="2">
        <v>1000.1994999999999</v>
      </c>
      <c r="E59" s="2">
        <v>549.63518999999997</v>
      </c>
      <c r="F59" s="2">
        <f t="shared" si="0"/>
        <v>999.8005397923115</v>
      </c>
      <c r="G59" s="3">
        <f t="shared" si="1"/>
        <v>54.974484222040502</v>
      </c>
      <c r="H59" s="20">
        <v>3.24</v>
      </c>
      <c r="I59" s="2">
        <v>1000.23</v>
      </c>
      <c r="J59" s="2">
        <v>549.67854999999895</v>
      </c>
      <c r="K59" s="2">
        <f t="shared" si="2"/>
        <v>999.77005288783573</v>
      </c>
      <c r="L59" s="2">
        <f t="shared" si="3"/>
        <v>54.955215300480788</v>
      </c>
      <c r="M59" s="20">
        <f t="shared" si="9"/>
        <v>1.8149999999999986</v>
      </c>
      <c r="N59" s="2">
        <f t="shared" si="4"/>
        <v>3.2030186000000072E-2</v>
      </c>
      <c r="O59" s="50">
        <v>1.7820199999999999</v>
      </c>
      <c r="P59" s="48">
        <v>1.814050186</v>
      </c>
      <c r="Q59" s="2">
        <v>550.27295800000002</v>
      </c>
      <c r="R59" s="37">
        <f t="shared" si="5"/>
        <v>0.59440800000106719</v>
      </c>
      <c r="S59" s="41">
        <f t="shared" si="6"/>
        <v>0.10802057258301019</v>
      </c>
      <c r="T59" s="44">
        <f t="shared" si="7"/>
        <v>9.498139999986055E-4</v>
      </c>
      <c r="U59" s="3">
        <f t="shared" si="8"/>
        <v>5.2331349862182165E-2</v>
      </c>
    </row>
    <row r="60" spans="2:21">
      <c r="B60" s="25">
        <v>56</v>
      </c>
      <c r="C60" s="20">
        <v>3.28</v>
      </c>
      <c r="D60" s="2">
        <v>1000.26902</v>
      </c>
      <c r="E60" s="2">
        <v>559.71132</v>
      </c>
      <c r="F60" s="2">
        <f t="shared" si="0"/>
        <v>999.73105235229616</v>
      </c>
      <c r="G60" s="3">
        <f t="shared" si="1"/>
        <v>55.986189353930641</v>
      </c>
      <c r="H60" s="20">
        <v>3.24</v>
      </c>
      <c r="I60" s="2">
        <v>1000.17</v>
      </c>
      <c r="J60" s="2">
        <v>559.68233999999995</v>
      </c>
      <c r="K60" s="2">
        <f t="shared" si="2"/>
        <v>999.83002889508782</v>
      </c>
      <c r="L60" s="2">
        <f t="shared" si="3"/>
        <v>55.958721017427038</v>
      </c>
      <c r="M60" s="20">
        <f t="shared" si="9"/>
        <v>1.8479999999999985</v>
      </c>
      <c r="N60" s="2">
        <f t="shared" si="4"/>
        <v>3.2392604999990082E-2</v>
      </c>
      <c r="O60" s="50">
        <v>1.8144199999999999</v>
      </c>
      <c r="P60" s="48">
        <v>1.84681260499999</v>
      </c>
      <c r="Q60" s="2">
        <v>560.21865709999997</v>
      </c>
      <c r="R60" s="37">
        <f t="shared" si="5"/>
        <v>0.53631710000001931</v>
      </c>
      <c r="S60" s="41">
        <f t="shared" si="6"/>
        <v>9.5733530685374116E-2</v>
      </c>
      <c r="T60" s="44">
        <f t="shared" si="7"/>
        <v>1.1873950000085287E-3</v>
      </c>
      <c r="U60" s="3">
        <f t="shared" si="8"/>
        <v>6.4252976190937741E-2</v>
      </c>
    </row>
    <row r="61" spans="2:21">
      <c r="B61" s="25">
        <v>57</v>
      </c>
      <c r="C61" s="20">
        <v>3.28</v>
      </c>
      <c r="D61" s="2">
        <v>1000.16532</v>
      </c>
      <c r="E61" s="2">
        <v>569.68979000000002</v>
      </c>
      <c r="F61" s="2">
        <f t="shared" si="0"/>
        <v>999.8347073261848</v>
      </c>
      <c r="G61" s="3">
        <f t="shared" si="1"/>
        <v>56.978397111608281</v>
      </c>
      <c r="H61" s="20">
        <v>3.24</v>
      </c>
      <c r="I61" s="2">
        <v>1000.21</v>
      </c>
      <c r="J61" s="2">
        <v>569.67759000000001</v>
      </c>
      <c r="K61" s="2">
        <f t="shared" si="2"/>
        <v>999.79004409074105</v>
      </c>
      <c r="L61" s="2">
        <f t="shared" si="3"/>
        <v>56.955798282360703</v>
      </c>
      <c r="M61" s="20">
        <f t="shared" si="9"/>
        <v>1.8809999999999985</v>
      </c>
      <c r="N61" s="2">
        <f t="shared" si="4"/>
        <v>3.2687279999999985E-2</v>
      </c>
      <c r="O61" s="50">
        <v>1.8468199999999999</v>
      </c>
      <c r="P61" s="48">
        <v>1.8795072799999999</v>
      </c>
      <c r="Q61" s="2">
        <v>570.14145740000004</v>
      </c>
      <c r="R61" s="37">
        <f t="shared" si="5"/>
        <v>0.46386740000002646</v>
      </c>
      <c r="S61" s="41">
        <f t="shared" si="6"/>
        <v>8.1360054417966357E-2</v>
      </c>
      <c r="T61" s="44">
        <f t="shared" si="7"/>
        <v>1.4927199999985596E-3</v>
      </c>
      <c r="U61" s="3">
        <f t="shared" si="8"/>
        <v>7.935778841034348E-2</v>
      </c>
    </row>
    <row r="62" spans="2:21">
      <c r="B62" s="25">
        <v>58</v>
      </c>
      <c r="C62" s="20">
        <v>3.28</v>
      </c>
      <c r="D62" s="2">
        <v>1000.3</v>
      </c>
      <c r="E62" s="2">
        <v>579.63485000000003</v>
      </c>
      <c r="F62" s="2">
        <f t="shared" si="0"/>
        <v>999.70008997300806</v>
      </c>
      <c r="G62" s="3">
        <f t="shared" si="1"/>
        <v>57.980874045500009</v>
      </c>
      <c r="H62" s="20">
        <v>3.24</v>
      </c>
      <c r="I62" s="2">
        <v>1000.31</v>
      </c>
      <c r="J62" s="2">
        <v>579.67695000000003</v>
      </c>
      <c r="K62" s="2">
        <f t="shared" si="2"/>
        <v>999.69009607021826</v>
      </c>
      <c r="L62" s="2">
        <f t="shared" si="3"/>
        <v>57.949730583519113</v>
      </c>
      <c r="M62" s="20">
        <f t="shared" si="9"/>
        <v>1.9139999999999984</v>
      </c>
      <c r="N62" s="2">
        <f t="shared" si="4"/>
        <v>3.304027899999018E-2</v>
      </c>
      <c r="O62" s="50">
        <v>1.8792199999999999</v>
      </c>
      <c r="P62" s="48">
        <v>1.9122602789999901</v>
      </c>
      <c r="Q62" s="2">
        <v>580.05867000000001</v>
      </c>
      <c r="R62" s="37">
        <f t="shared" si="5"/>
        <v>0.38171999999997297</v>
      </c>
      <c r="S62" s="41">
        <f t="shared" si="6"/>
        <v>6.5807136371217934E-2</v>
      </c>
      <c r="T62" s="44">
        <f t="shared" si="7"/>
        <v>1.7397210000082985E-3</v>
      </c>
      <c r="U62" s="3">
        <f t="shared" si="8"/>
        <v>9.0894514107016725E-2</v>
      </c>
    </row>
    <row r="63" spans="2:21">
      <c r="B63" s="25">
        <v>59</v>
      </c>
      <c r="C63" s="20">
        <v>3.28</v>
      </c>
      <c r="D63" s="2">
        <v>1000.07443</v>
      </c>
      <c r="E63" s="2">
        <v>589.675829999999</v>
      </c>
      <c r="F63" s="2">
        <f t="shared" si="0"/>
        <v>999.92557553941265</v>
      </c>
      <c r="G63" s="3">
        <f t="shared" si="1"/>
        <v>58.971971957202584</v>
      </c>
      <c r="H63" s="20">
        <v>3.24</v>
      </c>
      <c r="I63" s="2">
        <v>1000.17</v>
      </c>
      <c r="J63" s="2">
        <v>589.67617999999902</v>
      </c>
      <c r="K63" s="2">
        <f t="shared" si="2"/>
        <v>999.83002889508782</v>
      </c>
      <c r="L63" s="2">
        <f t="shared" si="3"/>
        <v>58.957595208814404</v>
      </c>
      <c r="M63" s="20">
        <f t="shared" si="9"/>
        <v>1.9469999999999983</v>
      </c>
      <c r="N63" s="2">
        <f t="shared" si="4"/>
        <v>3.3330155999999889E-2</v>
      </c>
      <c r="O63" s="50">
        <v>1.9116200000000001</v>
      </c>
      <c r="P63" s="48">
        <v>1.944950156</v>
      </c>
      <c r="Q63" s="2">
        <v>589.97689179999998</v>
      </c>
      <c r="R63" s="37">
        <f t="shared" si="5"/>
        <v>0.3007118000009541</v>
      </c>
      <c r="S63" s="41">
        <f t="shared" si="6"/>
        <v>5.0970098012397123E-2</v>
      </c>
      <c r="T63" s="44">
        <f t="shared" si="7"/>
        <v>2.049843999998302E-3</v>
      </c>
      <c r="U63" s="3">
        <f t="shared" si="8"/>
        <v>0.10528217770920922</v>
      </c>
    </row>
    <row r="64" spans="2:21">
      <c r="B64" s="25">
        <v>60</v>
      </c>
      <c r="C64" s="20">
        <v>3.28</v>
      </c>
      <c r="D64" s="2">
        <v>1000.15890999999</v>
      </c>
      <c r="E64" s="2">
        <v>599.63072999999895</v>
      </c>
      <c r="F64" s="2">
        <f t="shared" si="0"/>
        <v>999.8411152483859</v>
      </c>
      <c r="G64" s="3">
        <f t="shared" si="1"/>
        <v>59.972601731929721</v>
      </c>
      <c r="H64" s="20">
        <v>3.24</v>
      </c>
      <c r="I64" s="2">
        <v>1000.18</v>
      </c>
      <c r="J64" s="2">
        <v>599.67285000000004</v>
      </c>
      <c r="K64" s="2">
        <f t="shared" si="2"/>
        <v>999.82003239416917</v>
      </c>
      <c r="L64" s="2">
        <f t="shared" si="3"/>
        <v>59.956492831290376</v>
      </c>
      <c r="M64" s="20">
        <f t="shared" si="9"/>
        <v>1.9799999999999982</v>
      </c>
      <c r="N64" s="2">
        <f t="shared" si="4"/>
        <v>3.3668933999999817E-2</v>
      </c>
      <c r="O64" s="50">
        <v>1.9440200000000001</v>
      </c>
      <c r="P64" s="48">
        <v>1.9776889339999999</v>
      </c>
      <c r="Q64" s="2">
        <v>599.91042249999998</v>
      </c>
      <c r="R64" s="37">
        <f t="shared" si="5"/>
        <v>0.23757249999994201</v>
      </c>
      <c r="S64" s="41">
        <f t="shared" si="6"/>
        <v>3.9601328980068191E-2</v>
      </c>
      <c r="T64" s="44">
        <f t="shared" si="7"/>
        <v>2.3110659999983074E-3</v>
      </c>
      <c r="U64" s="3">
        <f t="shared" si="8"/>
        <v>0.11672050505041967</v>
      </c>
    </row>
    <row r="65" spans="2:21">
      <c r="B65" s="25">
        <v>61</v>
      </c>
      <c r="C65" s="20">
        <v>3.28</v>
      </c>
      <c r="D65" s="2">
        <v>1000.2623599999999</v>
      </c>
      <c r="E65" s="2">
        <v>609.43710999999996</v>
      </c>
      <c r="F65" s="2">
        <f t="shared" si="0"/>
        <v>999.73770881471535</v>
      </c>
      <c r="G65" s="3">
        <f t="shared" si="1"/>
        <v>60.959700192017962</v>
      </c>
      <c r="H65" s="20">
        <v>3.24</v>
      </c>
      <c r="I65" s="2">
        <v>1000.1899999999901</v>
      </c>
      <c r="J65" s="2">
        <v>609.44182999999998</v>
      </c>
      <c r="K65" s="2">
        <f t="shared" si="2"/>
        <v>999.81003609315223</v>
      </c>
      <c r="L65" s="2">
        <f t="shared" si="3"/>
        <v>60.932605804897676</v>
      </c>
      <c r="M65" s="20">
        <f t="shared" si="9"/>
        <v>2.0129999999999981</v>
      </c>
      <c r="N65" s="2">
        <f t="shared" si="4"/>
        <v>3.3085031999999792E-2</v>
      </c>
      <c r="O65" s="50">
        <v>1.9764200000000001</v>
      </c>
      <c r="P65" s="48">
        <v>2.0095050319999999</v>
      </c>
      <c r="Q65" s="2">
        <v>609.58682720000002</v>
      </c>
      <c r="R65" s="37">
        <f t="shared" si="5"/>
        <v>0.14499720000003435</v>
      </c>
      <c r="S65" s="41">
        <f t="shared" si="6"/>
        <v>2.3786143914238826E-2</v>
      </c>
      <c r="T65" s="44">
        <f t="shared" si="7"/>
        <v>3.4949679999982664E-3</v>
      </c>
      <c r="U65" s="3">
        <f t="shared" si="8"/>
        <v>0.17361987083945701</v>
      </c>
    </row>
    <row r="66" spans="2:21">
      <c r="B66" s="25">
        <v>62</v>
      </c>
      <c r="C66" s="20">
        <v>3.28</v>
      </c>
      <c r="D66" s="2">
        <v>1000.2395</v>
      </c>
      <c r="E66" s="2">
        <v>619.51926000000003</v>
      </c>
      <c r="F66" s="2">
        <f t="shared" si="0"/>
        <v>999.76055734651538</v>
      </c>
      <c r="G66" s="3">
        <f t="shared" si="1"/>
        <v>61.96676348627701</v>
      </c>
      <c r="H66" s="20">
        <v>3.24</v>
      </c>
      <c r="I66" s="2">
        <v>1000.26</v>
      </c>
      <c r="J66" s="2">
        <v>619.36862999999903</v>
      </c>
      <c r="K66" s="2">
        <f t="shared" si="2"/>
        <v>999.74006758242865</v>
      </c>
      <c r="L66" s="2">
        <f t="shared" si="3"/>
        <v>61.920763601463527</v>
      </c>
      <c r="M66" s="20">
        <f t="shared" si="9"/>
        <v>2.045999999999998</v>
      </c>
      <c r="N66" s="2">
        <f t="shared" si="4"/>
        <v>3.3407254000000108E-2</v>
      </c>
      <c r="O66" s="50">
        <v>2.0088200000000001</v>
      </c>
      <c r="P66" s="48">
        <v>2.0422272540000002</v>
      </c>
      <c r="Q66" s="2">
        <v>619.49016489999997</v>
      </c>
      <c r="R66" s="37">
        <f t="shared" si="5"/>
        <v>0.12153490000093825</v>
      </c>
      <c r="S66" s="41">
        <f t="shared" si="6"/>
        <v>1.9618535835925145E-2</v>
      </c>
      <c r="T66" s="44">
        <f t="shared" si="7"/>
        <v>3.7727459999978841E-3</v>
      </c>
      <c r="U66" s="3">
        <f t="shared" si="8"/>
        <v>0.18439618768318122</v>
      </c>
    </row>
    <row r="67" spans="2:21">
      <c r="B67" s="25">
        <v>63</v>
      </c>
      <c r="C67" s="20">
        <v>3.28</v>
      </c>
      <c r="D67" s="2">
        <v>1000.11638</v>
      </c>
      <c r="E67" s="2">
        <v>629.31129999999996</v>
      </c>
      <c r="F67" s="2">
        <f t="shared" si="0"/>
        <v>999.88363354272826</v>
      </c>
      <c r="G67" s="3">
        <f t="shared" si="1"/>
        <v>62.938453924909396</v>
      </c>
      <c r="H67" s="20">
        <v>3.24</v>
      </c>
      <c r="I67" s="2">
        <v>1000.14</v>
      </c>
      <c r="J67" s="2">
        <v>629.38621000000001</v>
      </c>
      <c r="K67" s="2">
        <f t="shared" si="2"/>
        <v>999.86001959725627</v>
      </c>
      <c r="L67" s="2">
        <f t="shared" si="3"/>
        <v>62.929810826484292</v>
      </c>
      <c r="M67" s="20">
        <f t="shared" si="9"/>
        <v>2.078999999999998</v>
      </c>
      <c r="N67" s="2">
        <f t="shared" si="4"/>
        <v>3.3677077999999749E-2</v>
      </c>
      <c r="O67" s="50">
        <v>2.04122</v>
      </c>
      <c r="P67" s="48">
        <v>2.0748970779999998</v>
      </c>
      <c r="Q67" s="2">
        <v>629.41526750000003</v>
      </c>
      <c r="R67" s="37">
        <f t="shared" si="5"/>
        <v>2.9057500000021719E-2</v>
      </c>
      <c r="S67" s="41">
        <f t="shared" si="6"/>
        <v>4.6165864573696116E-3</v>
      </c>
      <c r="T67" s="44">
        <f t="shared" si="7"/>
        <v>4.102921999998177E-3</v>
      </c>
      <c r="U67" s="3">
        <f t="shared" si="8"/>
        <v>0.19735074555065807</v>
      </c>
    </row>
    <row r="68" spans="2:21">
      <c r="B68" s="25">
        <v>64</v>
      </c>
      <c r="C68" s="20">
        <v>3.28</v>
      </c>
      <c r="D68" s="2">
        <v>1000.19902</v>
      </c>
      <c r="E68" s="2">
        <v>639.35463000000004</v>
      </c>
      <c r="F68" s="2">
        <f t="shared" si="0"/>
        <v>999.80101960107902</v>
      </c>
      <c r="G68" s="3">
        <f t="shared" si="1"/>
        <v>63.948187435846258</v>
      </c>
      <c r="H68" s="20">
        <v>3.24</v>
      </c>
      <c r="I68" s="2">
        <v>1000.23</v>
      </c>
      <c r="J68" s="2">
        <v>639.29957000000002</v>
      </c>
      <c r="K68" s="2">
        <f t="shared" si="2"/>
        <v>999.77005288783573</v>
      </c>
      <c r="L68" s="2">
        <f t="shared" si="3"/>
        <v>63.915256491007064</v>
      </c>
      <c r="M68" s="20">
        <f t="shared" si="9"/>
        <v>2.1119999999999979</v>
      </c>
      <c r="N68" s="2">
        <f t="shared" si="4"/>
        <v>3.3971891999999837E-2</v>
      </c>
      <c r="O68" s="50">
        <v>2.07362</v>
      </c>
      <c r="P68" s="48">
        <v>2.1075918919999999</v>
      </c>
      <c r="Q68" s="2">
        <v>639.33121889999995</v>
      </c>
      <c r="R68" s="37">
        <f t="shared" si="5"/>
        <v>3.1648899999936475E-2</v>
      </c>
      <c r="S68" s="41">
        <f t="shared" si="6"/>
        <v>4.9503135564676363E-3</v>
      </c>
      <c r="T68" s="44">
        <f t="shared" si="7"/>
        <v>4.4081079999980233E-3</v>
      </c>
      <c r="U68" s="3">
        <f t="shared" si="8"/>
        <v>0.20871723484839144</v>
      </c>
    </row>
    <row r="69" spans="2:21">
      <c r="B69" s="25">
        <v>65</v>
      </c>
      <c r="C69" s="20">
        <v>3.28</v>
      </c>
      <c r="D69" s="2">
        <v>1000.31999999999</v>
      </c>
      <c r="E69" s="2">
        <v>649.30751999999995</v>
      </c>
      <c r="F69" s="2">
        <f t="shared" si="0"/>
        <v>999.6801023672524</v>
      </c>
      <c r="G69" s="3">
        <f t="shared" si="1"/>
        <v>64.951529840639353</v>
      </c>
      <c r="H69" s="20">
        <v>3.24</v>
      </c>
      <c r="I69" s="2">
        <v>1000.29</v>
      </c>
      <c r="J69" s="2">
        <v>649.33822999999904</v>
      </c>
      <c r="K69" s="2">
        <f t="shared" si="2"/>
        <v>999.71008407561806</v>
      </c>
      <c r="L69" s="2">
        <f t="shared" si="3"/>
        <v>64.914997650681201</v>
      </c>
      <c r="M69" s="20">
        <f t="shared" si="9"/>
        <v>2.1449999999999978</v>
      </c>
      <c r="N69" s="2">
        <f t="shared" si="4"/>
        <v>3.4285691000000007E-2</v>
      </c>
      <c r="O69" s="50">
        <v>2.10602</v>
      </c>
      <c r="P69" s="48">
        <v>2.140305691</v>
      </c>
      <c r="Q69" s="2">
        <v>649.25572399999999</v>
      </c>
      <c r="R69" s="37">
        <f t="shared" si="5"/>
        <v>8.2505999999057167E-2</v>
      </c>
      <c r="S69" s="41">
        <f t="shared" si="6"/>
        <v>1.2707781687429091E-2</v>
      </c>
      <c r="T69" s="44">
        <f t="shared" si="7"/>
        <v>4.6943089999977872E-3</v>
      </c>
      <c r="U69" s="3">
        <f t="shared" si="8"/>
        <v>0.21884890442880148</v>
      </c>
    </row>
    <row r="70" spans="2:21">
      <c r="B70" s="25">
        <v>66</v>
      </c>
      <c r="C70" s="20">
        <v>3.28</v>
      </c>
      <c r="D70" s="2">
        <v>1000.09729</v>
      </c>
      <c r="E70" s="2">
        <v>659.22681999999895</v>
      </c>
      <c r="F70" s="2">
        <f t="shared" ref="F70:F103" si="10">(1/D70)*1000000</f>
        <v>999.9027194644234</v>
      </c>
      <c r="G70" s="3">
        <f t="shared" ref="G70:G103" si="11">(E70/F70)*100</f>
        <v>65.929095617731676</v>
      </c>
      <c r="H70" s="20">
        <v>3.24</v>
      </c>
      <c r="I70" s="2">
        <v>1000.24</v>
      </c>
      <c r="J70" s="2">
        <v>659.32097999999905</v>
      </c>
      <c r="K70" s="2">
        <f t="shared" ref="K70:K103" si="12">1/I70*1000000</f>
        <v>999.76005758617919</v>
      </c>
      <c r="L70" s="2">
        <f t="shared" ref="L70:L103" si="13">J70/I70*100</f>
        <v>65.916278093257517</v>
      </c>
      <c r="M70" s="20">
        <f t="shared" si="9"/>
        <v>2.1779999999999977</v>
      </c>
      <c r="N70" s="2">
        <f t="shared" ref="N70:N103" si="14">P70-O70</f>
        <v>3.4543431999999985E-2</v>
      </c>
      <c r="O70" s="50">
        <v>2.13842</v>
      </c>
      <c r="P70" s="48">
        <v>2.172963432</v>
      </c>
      <c r="Q70" s="2">
        <v>659.15089179999995</v>
      </c>
      <c r="R70" s="37">
        <f t="shared" ref="R70:R103" si="15">ABS(J70-Q70)</f>
        <v>0.17008819999909974</v>
      </c>
      <c r="S70" s="41">
        <f t="shared" ref="S70:S103" si="16">R70/Q70*100</f>
        <v>2.5804137127786519E-2</v>
      </c>
      <c r="T70" s="44">
        <f t="shared" ref="T70:T103" si="17">ABS(M70-P70)</f>
        <v>5.0365679999977431E-3</v>
      </c>
      <c r="U70" s="3">
        <f t="shared" ref="U70:U102" si="18">T70/M70*100</f>
        <v>0.23124738292000682</v>
      </c>
    </row>
    <row r="71" spans="2:21">
      <c r="B71" s="25">
        <v>67</v>
      </c>
      <c r="C71" s="20">
        <v>3.28</v>
      </c>
      <c r="D71" s="2">
        <v>1000.1581</v>
      </c>
      <c r="E71" s="2">
        <v>669.31069000000002</v>
      </c>
      <c r="F71" s="2">
        <f t="shared" si="10"/>
        <v>999.84192499165886</v>
      </c>
      <c r="G71" s="3">
        <f t="shared" si="11"/>
        <v>66.941650802008894</v>
      </c>
      <c r="H71" s="20">
        <v>3.24</v>
      </c>
      <c r="I71" s="2">
        <v>1000.21</v>
      </c>
      <c r="J71" s="2">
        <v>669.29813999999999</v>
      </c>
      <c r="K71" s="2">
        <f t="shared" si="12"/>
        <v>999.79004409074105</v>
      </c>
      <c r="L71" s="2">
        <f t="shared" si="13"/>
        <v>66.915761690045088</v>
      </c>
      <c r="M71" s="20">
        <f t="shared" ref="M71:M102" si="19">M70+0.033</f>
        <v>2.2109999999999976</v>
      </c>
      <c r="N71" s="2">
        <f t="shared" si="14"/>
        <v>3.4833147000000064E-2</v>
      </c>
      <c r="O71" s="50">
        <v>2.17082</v>
      </c>
      <c r="P71" s="48">
        <v>2.205653147</v>
      </c>
      <c r="Q71" s="2">
        <v>669.07631900000001</v>
      </c>
      <c r="R71" s="37">
        <f t="shared" si="15"/>
        <v>0.22182099999997718</v>
      </c>
      <c r="S71" s="41">
        <f t="shared" si="16"/>
        <v>3.315331804472027E-2</v>
      </c>
      <c r="T71" s="44">
        <f t="shared" si="17"/>
        <v>5.3468529999975978E-3</v>
      </c>
      <c r="U71" s="3">
        <f t="shared" si="18"/>
        <v>0.24182962460414306</v>
      </c>
    </row>
    <row r="72" spans="2:21">
      <c r="B72" s="25">
        <v>68</v>
      </c>
      <c r="C72" s="20">
        <v>3.28</v>
      </c>
      <c r="D72" s="2">
        <v>1000.2376399999901</v>
      </c>
      <c r="E72" s="2">
        <v>679.32285000000002</v>
      </c>
      <c r="F72" s="2">
        <f t="shared" si="10"/>
        <v>999.76241645936261</v>
      </c>
      <c r="G72" s="3">
        <f t="shared" si="11"/>
        <v>67.948428428206725</v>
      </c>
      <c r="H72" s="20">
        <v>3.24</v>
      </c>
      <c r="I72" s="2">
        <v>1000.26</v>
      </c>
      <c r="J72" s="2">
        <v>679.34250999999995</v>
      </c>
      <c r="K72" s="2">
        <f t="shared" si="12"/>
        <v>999.74006758242865</v>
      </c>
      <c r="L72" s="2">
        <f t="shared" si="13"/>
        <v>67.916592685901662</v>
      </c>
      <c r="M72" s="20">
        <f t="shared" si="19"/>
        <v>2.2439999999999976</v>
      </c>
      <c r="N72" s="2">
        <f t="shared" si="14"/>
        <v>3.5076102000000109E-2</v>
      </c>
      <c r="O72" s="50">
        <v>2.20322</v>
      </c>
      <c r="P72" s="48">
        <v>2.2382961020000001</v>
      </c>
      <c r="Q72" s="2">
        <v>678.98803820000001</v>
      </c>
      <c r="R72" s="37">
        <f t="shared" si="15"/>
        <v>0.35447179999994205</v>
      </c>
      <c r="S72" s="41">
        <f t="shared" si="16"/>
        <v>5.2205897608984128E-2</v>
      </c>
      <c r="T72" s="44">
        <f t="shared" si="17"/>
        <v>5.703897999997487E-3</v>
      </c>
      <c r="U72" s="3">
        <f t="shared" si="18"/>
        <v>0.25418440285193816</v>
      </c>
    </row>
    <row r="73" spans="2:21">
      <c r="B73" s="25">
        <v>69</v>
      </c>
      <c r="C73" s="20">
        <v>3.28</v>
      </c>
      <c r="D73" s="2">
        <v>1000.24</v>
      </c>
      <c r="E73" s="2">
        <v>689.31358999999998</v>
      </c>
      <c r="F73" s="2">
        <f t="shared" si="10"/>
        <v>999.76005758617919</v>
      </c>
      <c r="G73" s="3">
        <f t="shared" si="11"/>
        <v>68.947902526160007</v>
      </c>
      <c r="H73" s="20">
        <v>3.24</v>
      </c>
      <c r="I73" s="2">
        <v>1000.17977</v>
      </c>
      <c r="J73" s="2">
        <v>689.33573999999999</v>
      </c>
      <c r="K73" s="2">
        <f t="shared" si="12"/>
        <v>999.82026231144425</v>
      </c>
      <c r="L73" s="2">
        <f t="shared" si="13"/>
        <v>68.921184038745352</v>
      </c>
      <c r="M73" s="20">
        <f t="shared" si="19"/>
        <v>2.2769999999999975</v>
      </c>
      <c r="N73" s="2">
        <f t="shared" si="14"/>
        <v>3.5350537000000237E-2</v>
      </c>
      <c r="O73" s="50">
        <v>2.2356199999999999</v>
      </c>
      <c r="P73" s="48">
        <v>2.2709705370000002</v>
      </c>
      <c r="Q73" s="2">
        <v>688.8964608</v>
      </c>
      <c r="R73" s="37">
        <f t="shared" si="15"/>
        <v>0.43927919999998721</v>
      </c>
      <c r="S73" s="41">
        <f t="shared" si="16"/>
        <v>6.3765634604924834E-2</v>
      </c>
      <c r="T73" s="44">
        <f t="shared" si="17"/>
        <v>6.0294629999972926E-3</v>
      </c>
      <c r="U73" s="3">
        <f t="shared" si="18"/>
        <v>0.26479855072451908</v>
      </c>
    </row>
    <row r="74" spans="2:21">
      <c r="B74" s="25">
        <v>70</v>
      </c>
      <c r="C74" s="20">
        <v>3.28</v>
      </c>
      <c r="D74" s="2">
        <v>1000.19617999999</v>
      </c>
      <c r="E74" s="2">
        <v>699.22821999999906</v>
      </c>
      <c r="F74" s="2">
        <f t="shared" si="10"/>
        <v>999.80385847905359</v>
      </c>
      <c r="G74" s="3">
        <f t="shared" si="11"/>
        <v>69.936539459219162</v>
      </c>
      <c r="H74" s="20">
        <v>3.24</v>
      </c>
      <c r="I74" s="2">
        <v>1000.17</v>
      </c>
      <c r="J74" s="2">
        <v>699.34427000000005</v>
      </c>
      <c r="K74" s="2">
        <f t="shared" si="12"/>
        <v>999.83002889508782</v>
      </c>
      <c r="L74" s="2">
        <f t="shared" si="13"/>
        <v>69.922540168171423</v>
      </c>
      <c r="M74" s="20">
        <f t="shared" si="19"/>
        <v>2.3099999999999974</v>
      </c>
      <c r="N74" s="2">
        <f t="shared" si="14"/>
        <v>3.5665472999999892E-2</v>
      </c>
      <c r="O74" s="50">
        <v>2.2680199999999999</v>
      </c>
      <c r="P74" s="48">
        <v>2.3036854729999998</v>
      </c>
      <c r="Q74" s="2">
        <v>698.82410619999996</v>
      </c>
      <c r="R74" s="37">
        <f t="shared" si="15"/>
        <v>0.52016380000009121</v>
      </c>
      <c r="S74" s="41">
        <f t="shared" si="16"/>
        <v>7.4434152368982945E-2</v>
      </c>
      <c r="T74" s="44">
        <f t="shared" si="17"/>
        <v>6.3145269999975717E-3</v>
      </c>
      <c r="U74" s="3">
        <f t="shared" si="18"/>
        <v>0.2733561471860424</v>
      </c>
    </row>
    <row r="75" spans="2:21">
      <c r="B75" s="25">
        <v>71</v>
      </c>
      <c r="C75" s="20">
        <v>3.28</v>
      </c>
      <c r="D75" s="2">
        <v>1000.27906999999</v>
      </c>
      <c r="E75" s="2">
        <v>709.27246000000002</v>
      </c>
      <c r="F75" s="2">
        <f t="shared" si="10"/>
        <v>999.72100785834687</v>
      </c>
      <c r="G75" s="3">
        <f t="shared" si="11"/>
        <v>70.947039666540519</v>
      </c>
      <c r="H75" s="20">
        <v>3.24</v>
      </c>
      <c r="I75" s="2">
        <v>1000.17</v>
      </c>
      <c r="J75" s="2">
        <v>709.28886</v>
      </c>
      <c r="K75" s="2">
        <f t="shared" si="12"/>
        <v>999.83002889508782</v>
      </c>
      <c r="L75" s="2">
        <f t="shared" si="13"/>
        <v>70.916830138876392</v>
      </c>
      <c r="M75" s="20">
        <f t="shared" si="19"/>
        <v>2.3429999999999973</v>
      </c>
      <c r="N75" s="2">
        <f t="shared" si="14"/>
        <v>3.5895233999990062E-2</v>
      </c>
      <c r="O75" s="50">
        <v>2.3004199999999999</v>
      </c>
      <c r="P75" s="48">
        <v>2.33631523399999</v>
      </c>
      <c r="Q75" s="2">
        <v>708.71064920000003</v>
      </c>
      <c r="R75" s="37">
        <f t="shared" si="15"/>
        <v>0.57821079999996527</v>
      </c>
      <c r="S75" s="41">
        <f t="shared" si="16"/>
        <v>8.1586300509616391E-2</v>
      </c>
      <c r="T75" s="44">
        <f t="shared" si="17"/>
        <v>6.6847660000073361E-3</v>
      </c>
      <c r="U75" s="3">
        <f t="shared" si="18"/>
        <v>0.28530798122097073</v>
      </c>
    </row>
    <row r="76" spans="2:21">
      <c r="B76" s="25">
        <v>72</v>
      </c>
      <c r="C76" s="20">
        <v>3.28</v>
      </c>
      <c r="D76" s="2">
        <v>1000.16902</v>
      </c>
      <c r="E76" s="2">
        <v>719.34847999999897</v>
      </c>
      <c r="F76" s="2">
        <f t="shared" si="10"/>
        <v>999.83100856293254</v>
      </c>
      <c r="G76" s="3">
        <f t="shared" si="11"/>
        <v>71.947006428008862</v>
      </c>
      <c r="H76" s="20">
        <v>3.24</v>
      </c>
      <c r="I76" s="2">
        <v>1000.13</v>
      </c>
      <c r="J76" s="2">
        <v>719.31908999999996</v>
      </c>
      <c r="K76" s="2">
        <f t="shared" si="12"/>
        <v>999.87001689780334</v>
      </c>
      <c r="L76" s="2">
        <f t="shared" si="13"/>
        <v>71.922559067321245</v>
      </c>
      <c r="M76" s="20">
        <f t="shared" si="19"/>
        <v>2.3759999999999972</v>
      </c>
      <c r="N76" s="2">
        <f t="shared" si="14"/>
        <v>3.6241559000000034E-2</v>
      </c>
      <c r="O76" s="50">
        <v>2.3328199999999999</v>
      </c>
      <c r="P76" s="48">
        <v>2.3690615589999999</v>
      </c>
      <c r="Q76" s="2">
        <v>718.63098319999995</v>
      </c>
      <c r="R76" s="37">
        <f t="shared" si="15"/>
        <v>0.68810680000001412</v>
      </c>
      <c r="S76" s="41">
        <f t="shared" si="16"/>
        <v>9.575245377480604E-2</v>
      </c>
      <c r="T76" s="44">
        <f t="shared" si="17"/>
        <v>6.9384409999972974E-3</v>
      </c>
      <c r="U76" s="3">
        <f t="shared" si="18"/>
        <v>0.29202192760931422</v>
      </c>
    </row>
    <row r="77" spans="2:21">
      <c r="B77" s="25">
        <v>73</v>
      </c>
      <c r="C77" s="20">
        <v>3.28</v>
      </c>
      <c r="D77" s="2">
        <v>1000.25999999999</v>
      </c>
      <c r="E77" s="2">
        <v>729.34758999999997</v>
      </c>
      <c r="F77" s="2">
        <f t="shared" si="10"/>
        <v>999.74006758243866</v>
      </c>
      <c r="G77" s="3">
        <f t="shared" si="11"/>
        <v>72.953722037339261</v>
      </c>
      <c r="H77" s="20">
        <v>3.24</v>
      </c>
      <c r="I77" s="2">
        <v>1000.22</v>
      </c>
      <c r="J77" s="2">
        <v>729.32887000000005</v>
      </c>
      <c r="K77" s="2">
        <f t="shared" si="12"/>
        <v>999.78004838935442</v>
      </c>
      <c r="L77" s="2">
        <f t="shared" si="13"/>
        <v>72.916845294035312</v>
      </c>
      <c r="M77" s="20">
        <f t="shared" si="19"/>
        <v>2.4089999999999971</v>
      </c>
      <c r="N77" s="2">
        <f t="shared" si="14"/>
        <v>3.6468788000000085E-2</v>
      </c>
      <c r="O77" s="50">
        <v>2.3652199999999999</v>
      </c>
      <c r="P77" s="48">
        <v>2.401688788</v>
      </c>
      <c r="Q77" s="2">
        <v>728.53486859999998</v>
      </c>
      <c r="R77" s="37">
        <f t="shared" si="15"/>
        <v>0.79400140000007013</v>
      </c>
      <c r="S77" s="41">
        <f t="shared" si="16"/>
        <v>0.108986053272354</v>
      </c>
      <c r="T77" s="44">
        <f t="shared" si="17"/>
        <v>7.3112119999971803E-3</v>
      </c>
      <c r="U77" s="3">
        <f t="shared" si="18"/>
        <v>0.30349572436684052</v>
      </c>
    </row>
    <row r="78" spans="2:21">
      <c r="B78" s="25">
        <v>74</v>
      </c>
      <c r="C78" s="20">
        <v>3.28</v>
      </c>
      <c r="D78" s="2">
        <v>1000.18784999999</v>
      </c>
      <c r="E78" s="2">
        <v>739.30369999999903</v>
      </c>
      <c r="F78" s="2">
        <f t="shared" si="10"/>
        <v>999.8121852810051</v>
      </c>
      <c r="G78" s="3">
        <f t="shared" si="11"/>
        <v>73.944257820003656</v>
      </c>
      <c r="H78" s="20">
        <v>3.24</v>
      </c>
      <c r="I78" s="2">
        <v>1000.32999999999</v>
      </c>
      <c r="J78" s="2">
        <v>739.30812000000003</v>
      </c>
      <c r="K78" s="2">
        <f t="shared" si="12"/>
        <v>999.67010886408491</v>
      </c>
      <c r="L78" s="2">
        <f t="shared" si="13"/>
        <v>73.906422880450194</v>
      </c>
      <c r="M78" s="20">
        <f t="shared" si="19"/>
        <v>2.4419999999999971</v>
      </c>
      <c r="N78" s="2">
        <f t="shared" si="14"/>
        <v>3.6689058999999968E-2</v>
      </c>
      <c r="O78" s="50">
        <v>2.3976199999999999</v>
      </c>
      <c r="P78" s="48">
        <v>2.4343090589999998</v>
      </c>
      <c r="Q78" s="2">
        <v>738.4417287</v>
      </c>
      <c r="R78" s="37">
        <f t="shared" si="15"/>
        <v>0.86639130000003206</v>
      </c>
      <c r="S78" s="41">
        <f t="shared" si="16"/>
        <v>0.11732696925528337</v>
      </c>
      <c r="T78" s="44">
        <f t="shared" si="17"/>
        <v>7.6909409999972311E-3</v>
      </c>
      <c r="U78" s="3">
        <f t="shared" si="18"/>
        <v>0.31494434889423589</v>
      </c>
    </row>
    <row r="79" spans="2:21">
      <c r="B79" s="25">
        <v>75</v>
      </c>
      <c r="C79" s="20">
        <v>3.28</v>
      </c>
      <c r="D79" s="2">
        <v>1000.29</v>
      </c>
      <c r="E79" s="2">
        <v>749.23032000000001</v>
      </c>
      <c r="F79" s="2">
        <f t="shared" si="10"/>
        <v>999.71008407561806</v>
      </c>
      <c r="G79" s="3">
        <f t="shared" si="11"/>
        <v>74.944759679279997</v>
      </c>
      <c r="H79" s="20">
        <v>3.24</v>
      </c>
      <c r="I79" s="2">
        <v>1000.24999999999</v>
      </c>
      <c r="J79" s="2">
        <v>749.24426000000005</v>
      </c>
      <c r="K79" s="2">
        <f t="shared" si="12"/>
        <v>999.75006248438899</v>
      </c>
      <c r="L79" s="2">
        <f t="shared" si="13"/>
        <v>74.905699575106979</v>
      </c>
      <c r="M79" s="20">
        <f t="shared" si="19"/>
        <v>2.474999999999997</v>
      </c>
      <c r="N79" s="2">
        <f t="shared" si="14"/>
        <v>3.6953567000000298E-2</v>
      </c>
      <c r="O79" s="50">
        <v>2.4300199999999998</v>
      </c>
      <c r="P79" s="48">
        <v>2.4669735670000001</v>
      </c>
      <c r="Q79" s="2">
        <v>748.34931219999999</v>
      </c>
      <c r="R79" s="37">
        <f t="shared" si="15"/>
        <v>0.89494780000006813</v>
      </c>
      <c r="S79" s="41">
        <f t="shared" si="16"/>
        <v>0.11958958008113851</v>
      </c>
      <c r="T79" s="44">
        <f t="shared" si="17"/>
        <v>8.0264329999968353E-3</v>
      </c>
      <c r="U79" s="3">
        <f t="shared" si="18"/>
        <v>0.32430032323219576</v>
      </c>
    </row>
    <row r="80" spans="2:21">
      <c r="B80" s="25">
        <v>76</v>
      </c>
      <c r="C80" s="20">
        <v>3.28</v>
      </c>
      <c r="D80" s="2">
        <v>1000.08105</v>
      </c>
      <c r="E80" s="2">
        <v>759.27868999999998</v>
      </c>
      <c r="F80" s="2">
        <f t="shared" si="10"/>
        <v>999.91895656857002</v>
      </c>
      <c r="G80" s="3">
        <f t="shared" si="11"/>
        <v>75.93402295378246</v>
      </c>
      <c r="H80" s="20">
        <v>3.24</v>
      </c>
      <c r="I80" s="2">
        <v>1000.2</v>
      </c>
      <c r="J80" s="2">
        <v>759.21846000000005</v>
      </c>
      <c r="K80" s="2">
        <f t="shared" si="12"/>
        <v>999.80003999200164</v>
      </c>
      <c r="L80" s="2">
        <f t="shared" si="13"/>
        <v>75.906664667066593</v>
      </c>
      <c r="M80" s="20">
        <f t="shared" si="19"/>
        <v>2.5079999999999969</v>
      </c>
      <c r="N80" s="2">
        <f t="shared" si="14"/>
        <v>3.7233631999999961E-2</v>
      </c>
      <c r="O80" s="50">
        <v>2.4624199999999998</v>
      </c>
      <c r="P80" s="48">
        <v>2.4996536319999998</v>
      </c>
      <c r="Q80" s="2">
        <v>758.26506500000005</v>
      </c>
      <c r="R80" s="37">
        <f t="shared" si="15"/>
        <v>0.95339500000000044</v>
      </c>
      <c r="S80" s="41">
        <f t="shared" si="16"/>
        <v>0.1257337366584336</v>
      </c>
      <c r="T80" s="44">
        <f t="shared" si="17"/>
        <v>8.3463679999971063E-3</v>
      </c>
      <c r="U80" s="3">
        <f t="shared" si="18"/>
        <v>0.33278979266336189</v>
      </c>
    </row>
    <row r="81" spans="2:21">
      <c r="B81" s="25">
        <v>77</v>
      </c>
      <c r="C81" s="20">
        <v>3.28</v>
      </c>
      <c r="D81" s="2">
        <v>1000.27951999999</v>
      </c>
      <c r="E81" s="2">
        <v>769.23825999999997</v>
      </c>
      <c r="F81" s="2">
        <f t="shared" si="10"/>
        <v>999.72055810960705</v>
      </c>
      <c r="G81" s="3">
        <f t="shared" si="11"/>
        <v>76.945327747842768</v>
      </c>
      <c r="H81" s="20">
        <v>3.24</v>
      </c>
      <c r="I81" s="2">
        <v>1000.24</v>
      </c>
      <c r="J81" s="2">
        <v>769.22496999999998</v>
      </c>
      <c r="K81" s="2">
        <f t="shared" si="12"/>
        <v>999.76005758617919</v>
      </c>
      <c r="L81" s="2">
        <f t="shared" si="13"/>
        <v>76.904040030392707</v>
      </c>
      <c r="M81" s="20">
        <f t="shared" si="19"/>
        <v>2.5409999999999968</v>
      </c>
      <c r="N81" s="2">
        <f t="shared" si="14"/>
        <v>3.7548558000000121E-2</v>
      </c>
      <c r="O81" s="50">
        <v>2.4948199999999998</v>
      </c>
      <c r="P81" s="48">
        <v>2.5323685579999999</v>
      </c>
      <c r="Q81" s="2">
        <v>768.1680867</v>
      </c>
      <c r="R81" s="37">
        <f t="shared" si="15"/>
        <v>1.0568832999999813</v>
      </c>
      <c r="S81" s="41">
        <f t="shared" si="16"/>
        <v>0.13758490079173727</v>
      </c>
      <c r="T81" s="44">
        <f t="shared" si="17"/>
        <v>8.6314419999968806E-3</v>
      </c>
      <c r="U81" s="3">
        <f t="shared" si="18"/>
        <v>0.33968681621396662</v>
      </c>
    </row>
    <row r="82" spans="2:21">
      <c r="B82" s="25">
        <v>78</v>
      </c>
      <c r="C82" s="20">
        <v>3.28</v>
      </c>
      <c r="D82" s="2">
        <v>1000.23478</v>
      </c>
      <c r="E82" s="2">
        <v>779.23312999999996</v>
      </c>
      <c r="F82" s="2">
        <f t="shared" si="10"/>
        <v>999.76527510871006</v>
      </c>
      <c r="G82" s="3">
        <f t="shared" si="11"/>
        <v>77.941607835426126</v>
      </c>
      <c r="H82" s="20">
        <v>3.24</v>
      </c>
      <c r="I82" s="2">
        <v>1000.21</v>
      </c>
      <c r="J82" s="2">
        <v>779.22559000000001</v>
      </c>
      <c r="K82" s="2">
        <f t="shared" si="12"/>
        <v>999.79004409074105</v>
      </c>
      <c r="L82" s="2">
        <f t="shared" si="13"/>
        <v>77.906198698273371</v>
      </c>
      <c r="M82" s="20">
        <f t="shared" si="19"/>
        <v>2.5739999999999967</v>
      </c>
      <c r="N82" s="2">
        <f t="shared" si="14"/>
        <v>3.7743684000000055E-2</v>
      </c>
      <c r="O82" s="50">
        <v>2.5272199999999998</v>
      </c>
      <c r="P82" s="48">
        <v>2.5649636839999999</v>
      </c>
      <c r="Q82" s="2">
        <v>778.09204880000004</v>
      </c>
      <c r="R82" s="37">
        <f t="shared" si="15"/>
        <v>1.1335411999999678</v>
      </c>
      <c r="S82" s="41">
        <f t="shared" si="16"/>
        <v>0.14568214670078605</v>
      </c>
      <c r="T82" s="44">
        <f t="shared" si="17"/>
        <v>9.0363159999968801E-3</v>
      </c>
      <c r="U82" s="3">
        <f t="shared" si="18"/>
        <v>0.35106122766110687</v>
      </c>
    </row>
    <row r="83" spans="2:21">
      <c r="B83" s="25">
        <v>79</v>
      </c>
      <c r="C83" s="20">
        <v>3.28</v>
      </c>
      <c r="D83" s="2">
        <v>1000.19862</v>
      </c>
      <c r="E83" s="2">
        <v>789.19307000000003</v>
      </c>
      <c r="F83" s="2">
        <f t="shared" si="10"/>
        <v>999.80141944207048</v>
      </c>
      <c r="G83" s="3">
        <f t="shared" si="11"/>
        <v>78.934981952756331</v>
      </c>
      <c r="H83" s="20">
        <v>3.24</v>
      </c>
      <c r="I83" s="2">
        <v>1000.22</v>
      </c>
      <c r="J83" s="2">
        <v>789.21759999999995</v>
      </c>
      <c r="K83" s="2">
        <f t="shared" si="12"/>
        <v>999.78004838935442</v>
      </c>
      <c r="L83" s="2">
        <f t="shared" si="13"/>
        <v>78.904401031772991</v>
      </c>
      <c r="M83" s="20">
        <f t="shared" si="19"/>
        <v>2.6069999999999967</v>
      </c>
      <c r="N83" s="2">
        <f t="shared" si="14"/>
        <v>3.7990463000000307E-2</v>
      </c>
      <c r="O83" s="50">
        <v>2.5596199999999998</v>
      </c>
      <c r="P83" s="48">
        <v>2.5976104630000001</v>
      </c>
      <c r="Q83" s="2">
        <v>787.98191010000005</v>
      </c>
      <c r="R83" s="37">
        <f t="shared" si="15"/>
        <v>1.2356898999998975</v>
      </c>
      <c r="S83" s="41">
        <f t="shared" si="16"/>
        <v>0.15681703909206246</v>
      </c>
      <c r="T83" s="44">
        <f t="shared" si="17"/>
        <v>9.3895369999965617E-3</v>
      </c>
      <c r="U83" s="3">
        <f t="shared" si="18"/>
        <v>0.36016635980040557</v>
      </c>
    </row>
    <row r="84" spans="2:21">
      <c r="B84" s="25">
        <v>80</v>
      </c>
      <c r="C84" s="20">
        <v>3.28</v>
      </c>
      <c r="D84" s="2">
        <v>1000.28802</v>
      </c>
      <c r="E84" s="2">
        <v>799.23166000000003</v>
      </c>
      <c r="F84" s="2">
        <f t="shared" si="10"/>
        <v>999.71206293163459</v>
      </c>
      <c r="G84" s="3">
        <f t="shared" si="11"/>
        <v>79.946185470271317</v>
      </c>
      <c r="H84" s="20">
        <v>3.24</v>
      </c>
      <c r="I84" s="2">
        <v>1000.21999999999</v>
      </c>
      <c r="J84" s="2">
        <v>799.22947999999894</v>
      </c>
      <c r="K84" s="2">
        <f t="shared" si="12"/>
        <v>999.78004838936442</v>
      </c>
      <c r="L84" s="2">
        <f t="shared" si="13"/>
        <v>79.905368818860552</v>
      </c>
      <c r="M84" s="20">
        <f t="shared" si="19"/>
        <v>2.6399999999999966</v>
      </c>
      <c r="N84" s="2">
        <f t="shared" si="14"/>
        <v>3.8313985999999911E-2</v>
      </c>
      <c r="O84" s="50">
        <v>2.5920200000000002</v>
      </c>
      <c r="P84" s="48">
        <v>2.6303339860000001</v>
      </c>
      <c r="Q84" s="2">
        <v>797.89982120000002</v>
      </c>
      <c r="R84" s="37">
        <f t="shared" si="15"/>
        <v>1.3296587999989242</v>
      </c>
      <c r="S84" s="41">
        <f t="shared" si="16"/>
        <v>0.1666448299235343</v>
      </c>
      <c r="T84" s="44">
        <f t="shared" si="17"/>
        <v>9.6660139999964478E-3</v>
      </c>
      <c r="U84" s="3">
        <f t="shared" si="18"/>
        <v>0.36613689393925986</v>
      </c>
    </row>
    <row r="85" spans="2:21">
      <c r="B85" s="25">
        <v>81</v>
      </c>
      <c r="C85" s="20">
        <v>3.28</v>
      </c>
      <c r="D85" s="2">
        <v>1000.40999999999</v>
      </c>
      <c r="E85" s="2">
        <v>809.03427999999894</v>
      </c>
      <c r="F85" s="2">
        <f t="shared" si="10"/>
        <v>999.59016803111729</v>
      </c>
      <c r="G85" s="3">
        <f t="shared" si="11"/>
        <v>80.936598405479074</v>
      </c>
      <c r="H85" s="20">
        <v>3.24</v>
      </c>
      <c r="I85" s="2">
        <v>1000.14</v>
      </c>
      <c r="J85" s="2">
        <v>808.92350999999906</v>
      </c>
      <c r="K85" s="2">
        <f t="shared" si="12"/>
        <v>999.86001959725627</v>
      </c>
      <c r="L85" s="2">
        <f t="shared" si="13"/>
        <v>80.88102765612804</v>
      </c>
      <c r="M85" s="20">
        <f t="shared" si="19"/>
        <v>2.6729999999999965</v>
      </c>
      <c r="N85" s="2">
        <f t="shared" si="14"/>
        <v>3.7803662999999599E-2</v>
      </c>
      <c r="O85" s="50">
        <v>2.6244200000000002</v>
      </c>
      <c r="P85" s="48">
        <v>2.6622236629999998</v>
      </c>
      <c r="Q85" s="2">
        <v>807.55451909999999</v>
      </c>
      <c r="R85" s="37">
        <f t="shared" si="15"/>
        <v>1.3689908999990621</v>
      </c>
      <c r="S85" s="41">
        <f t="shared" si="16"/>
        <v>0.16952303127778537</v>
      </c>
      <c r="T85" s="44">
        <f t="shared" si="17"/>
        <v>1.0776336999996694E-2</v>
      </c>
      <c r="U85" s="3">
        <f t="shared" si="18"/>
        <v>0.40315514403279862</v>
      </c>
    </row>
    <row r="86" spans="2:21">
      <c r="B86" s="25">
        <v>82</v>
      </c>
      <c r="C86" s="20">
        <v>3.28</v>
      </c>
      <c r="D86" s="2">
        <v>1000.23952</v>
      </c>
      <c r="E86" s="2">
        <v>818.94804999999894</v>
      </c>
      <c r="F86" s="2">
        <f t="shared" si="10"/>
        <v>999.76053735609253</v>
      </c>
      <c r="G86" s="3">
        <f t="shared" si="11"/>
        <v>81.914420443693487</v>
      </c>
      <c r="H86" s="20">
        <v>3.24</v>
      </c>
      <c r="I86" s="2">
        <v>1000.28</v>
      </c>
      <c r="J86" s="2">
        <v>818.99802</v>
      </c>
      <c r="K86" s="2">
        <f t="shared" si="12"/>
        <v>999.72007837805427</v>
      </c>
      <c r="L86" s="2">
        <f t="shared" si="13"/>
        <v>81.876876474587107</v>
      </c>
      <c r="M86" s="20">
        <f t="shared" si="19"/>
        <v>2.7059999999999964</v>
      </c>
      <c r="N86" s="2">
        <f t="shared" si="14"/>
        <v>3.797512699999972E-2</v>
      </c>
      <c r="O86" s="50">
        <v>2.6568200000000002</v>
      </c>
      <c r="P86" s="48">
        <v>2.6947951269999999</v>
      </c>
      <c r="Q86" s="2">
        <v>817.46230490000005</v>
      </c>
      <c r="R86" s="37">
        <f t="shared" si="15"/>
        <v>1.5357150999999476</v>
      </c>
      <c r="S86" s="41">
        <f t="shared" si="16"/>
        <v>0.1878637205403387</v>
      </c>
      <c r="T86" s="44">
        <f t="shared" si="17"/>
        <v>1.1204872999996507E-2</v>
      </c>
      <c r="U86" s="3">
        <f t="shared" si="18"/>
        <v>0.41407512934207397</v>
      </c>
    </row>
    <row r="87" spans="2:21">
      <c r="B87" s="25">
        <v>83</v>
      </c>
      <c r="C87" s="20">
        <v>3.28</v>
      </c>
      <c r="D87" s="2">
        <v>1000.23902</v>
      </c>
      <c r="E87" s="2">
        <v>828.95119</v>
      </c>
      <c r="F87" s="2">
        <f t="shared" si="10"/>
        <v>999.76103711690837</v>
      </c>
      <c r="G87" s="3">
        <f t="shared" si="11"/>
        <v>82.914932591343373</v>
      </c>
      <c r="H87" s="20">
        <v>3.24</v>
      </c>
      <c r="I87" s="2">
        <v>1000.17</v>
      </c>
      <c r="J87" s="2">
        <v>828.97758999999996</v>
      </c>
      <c r="K87" s="2">
        <f t="shared" si="12"/>
        <v>999.83002889508782</v>
      </c>
      <c r="L87" s="2">
        <f t="shared" si="13"/>
        <v>82.883668776308028</v>
      </c>
      <c r="M87" s="20">
        <f t="shared" si="19"/>
        <v>2.7389999999999963</v>
      </c>
      <c r="N87" s="2">
        <f t="shared" si="14"/>
        <v>3.8311103999999929E-2</v>
      </c>
      <c r="O87" s="50">
        <v>2.6892200000000002</v>
      </c>
      <c r="P87" s="48">
        <v>2.7275311040000001</v>
      </c>
      <c r="Q87" s="2">
        <v>827.37468630000001</v>
      </c>
      <c r="R87" s="37">
        <f t="shared" si="15"/>
        <v>1.6029036999999562</v>
      </c>
      <c r="S87" s="41">
        <f t="shared" si="16"/>
        <v>0.19373371297689848</v>
      </c>
      <c r="T87" s="44">
        <f t="shared" si="17"/>
        <v>1.1468895999996231E-2</v>
      </c>
      <c r="U87" s="3">
        <f t="shared" si="18"/>
        <v>0.41872566630143288</v>
      </c>
    </row>
    <row r="88" spans="2:21">
      <c r="B88" s="25">
        <v>84</v>
      </c>
      <c r="C88" s="20">
        <v>3.28</v>
      </c>
      <c r="D88" s="2">
        <v>1000.15447999999</v>
      </c>
      <c r="E88" s="2">
        <v>839.12616999999898</v>
      </c>
      <c r="F88" s="2">
        <f t="shared" si="10"/>
        <v>999.84554386039451</v>
      </c>
      <c r="G88" s="3">
        <f t="shared" si="11"/>
        <v>83.925579821073214</v>
      </c>
      <c r="H88" s="20">
        <v>3.24</v>
      </c>
      <c r="I88" s="2">
        <v>1000.16</v>
      </c>
      <c r="J88" s="2">
        <v>838.929069999999</v>
      </c>
      <c r="K88" s="2">
        <f t="shared" si="12"/>
        <v>999.84002559590465</v>
      </c>
      <c r="L88" s="2">
        <f t="shared" si="13"/>
        <v>83.879486282194748</v>
      </c>
      <c r="M88" s="20">
        <f t="shared" si="19"/>
        <v>2.7719999999999962</v>
      </c>
      <c r="N88" s="2">
        <f t="shared" si="14"/>
        <v>3.8525809999999883E-2</v>
      </c>
      <c r="O88" s="50">
        <v>2.7216200000000002</v>
      </c>
      <c r="P88" s="48">
        <v>2.76014581</v>
      </c>
      <c r="Q88" s="2">
        <v>837.2779597</v>
      </c>
      <c r="R88" s="37">
        <f t="shared" si="15"/>
        <v>1.6511102999990044</v>
      </c>
      <c r="S88" s="41">
        <f t="shared" si="16"/>
        <v>0.19719978065475458</v>
      </c>
      <c r="T88" s="44">
        <f t="shared" si="17"/>
        <v>1.1854189999996212E-2</v>
      </c>
      <c r="U88" s="3">
        <f t="shared" si="18"/>
        <v>0.42764033189019585</v>
      </c>
    </row>
    <row r="89" spans="2:21">
      <c r="B89" s="25">
        <v>85</v>
      </c>
      <c r="C89" s="20">
        <v>3.28</v>
      </c>
      <c r="D89" s="2">
        <v>1000.24952999999</v>
      </c>
      <c r="E89" s="2">
        <v>848.90980999999999</v>
      </c>
      <c r="F89" s="2">
        <f t="shared" si="10"/>
        <v>999.7505322496977</v>
      </c>
      <c r="G89" s="3">
        <f t="shared" si="11"/>
        <v>84.912163846488085</v>
      </c>
      <c r="H89" s="20">
        <v>3.24</v>
      </c>
      <c r="I89" s="2">
        <v>1000.21</v>
      </c>
      <c r="J89" s="2">
        <v>848.90133000000003</v>
      </c>
      <c r="K89" s="2">
        <f t="shared" si="12"/>
        <v>999.79004409074105</v>
      </c>
      <c r="L89" s="2">
        <f t="shared" si="13"/>
        <v>84.872309814938859</v>
      </c>
      <c r="M89" s="20">
        <f t="shared" si="19"/>
        <v>2.8049999999999962</v>
      </c>
      <c r="N89" s="2">
        <f t="shared" si="14"/>
        <v>3.8781818999999995E-2</v>
      </c>
      <c r="O89" s="50">
        <v>2.7540200000000001</v>
      </c>
      <c r="P89" s="48">
        <v>2.7928018190000001</v>
      </c>
      <c r="Q89" s="2">
        <v>847.19082490000005</v>
      </c>
      <c r="R89" s="37">
        <f t="shared" si="15"/>
        <v>1.7105050999999776</v>
      </c>
      <c r="S89" s="41">
        <f t="shared" si="16"/>
        <v>0.20190316629100422</v>
      </c>
      <c r="T89" s="44">
        <f t="shared" si="17"/>
        <v>1.2198180999996033E-2</v>
      </c>
      <c r="U89" s="3">
        <f t="shared" si="18"/>
        <v>0.43487276292321031</v>
      </c>
    </row>
    <row r="90" spans="2:21">
      <c r="B90" s="25">
        <v>86</v>
      </c>
      <c r="C90" s="20">
        <v>3.28</v>
      </c>
      <c r="D90" s="2">
        <v>1000.2380899999901</v>
      </c>
      <c r="E90" s="2">
        <v>858.99755000000005</v>
      </c>
      <c r="F90" s="2">
        <f t="shared" si="10"/>
        <v>999.76196667336467</v>
      </c>
      <c r="G90" s="3">
        <f t="shared" si="11"/>
        <v>85.920206872667109</v>
      </c>
      <c r="H90" s="20">
        <v>3.24</v>
      </c>
      <c r="I90" s="2">
        <v>1000.33999999999</v>
      </c>
      <c r="J90" s="2">
        <v>858.93727999999999</v>
      </c>
      <c r="K90" s="2">
        <f t="shared" si="12"/>
        <v>999.6601155607193</v>
      </c>
      <c r="L90" s="2">
        <f t="shared" si="13"/>
        <v>85.864534058421</v>
      </c>
      <c r="M90" s="20">
        <f t="shared" si="19"/>
        <v>2.8379999999999961</v>
      </c>
      <c r="N90" s="2">
        <f t="shared" si="14"/>
        <v>3.9047661999999761E-2</v>
      </c>
      <c r="O90" s="50">
        <v>2.7864200000000001</v>
      </c>
      <c r="P90" s="48">
        <v>2.8254676619999999</v>
      </c>
      <c r="Q90" s="2">
        <v>857.08546179999996</v>
      </c>
      <c r="R90" s="37">
        <f t="shared" si="15"/>
        <v>1.8518182000000252</v>
      </c>
      <c r="S90" s="41">
        <f t="shared" si="16"/>
        <v>0.216059924305675</v>
      </c>
      <c r="T90" s="44">
        <f t="shared" si="17"/>
        <v>1.2532337999996201E-2</v>
      </c>
      <c r="U90" s="3">
        <f t="shared" si="18"/>
        <v>0.4415904862577949</v>
      </c>
    </row>
    <row r="91" spans="2:21">
      <c r="B91" s="25">
        <v>87</v>
      </c>
      <c r="C91" s="20">
        <v>3.28</v>
      </c>
      <c r="D91" s="2">
        <v>1000.23007999999</v>
      </c>
      <c r="E91" s="2">
        <v>868.91511000000003</v>
      </c>
      <c r="F91" s="2">
        <f t="shared" si="10"/>
        <v>999.76997292463943</v>
      </c>
      <c r="G91" s="3">
        <f t="shared" si="11"/>
        <v>86.911502998850025</v>
      </c>
      <c r="H91" s="20">
        <v>3.24</v>
      </c>
      <c r="I91" s="2">
        <v>1000.16999999999</v>
      </c>
      <c r="J91" s="2">
        <v>868.91361999999901</v>
      </c>
      <c r="K91" s="2">
        <f t="shared" si="12"/>
        <v>999.83002889509783</v>
      </c>
      <c r="L91" s="2">
        <f t="shared" si="13"/>
        <v>86.876592979194314</v>
      </c>
      <c r="M91" s="20">
        <f t="shared" si="19"/>
        <v>2.870999999999996</v>
      </c>
      <c r="N91" s="2">
        <f t="shared" si="14"/>
        <v>3.9307624000000096E-2</v>
      </c>
      <c r="O91" s="50">
        <v>2.8188200000000001</v>
      </c>
      <c r="P91" s="48">
        <v>2.8581276240000002</v>
      </c>
      <c r="Q91" s="2">
        <v>867.00845079999999</v>
      </c>
      <c r="R91" s="37">
        <f t="shared" si="15"/>
        <v>1.9051691999990226</v>
      </c>
      <c r="S91" s="41">
        <f t="shared" si="16"/>
        <v>0.21974055711234397</v>
      </c>
      <c r="T91" s="44">
        <f t="shared" si="17"/>
        <v>1.28723759999958E-2</v>
      </c>
      <c r="U91" s="3">
        <f t="shared" si="18"/>
        <v>0.44835862068950949</v>
      </c>
    </row>
    <row r="92" spans="2:21">
      <c r="B92" s="25">
        <v>88</v>
      </c>
      <c r="C92" s="20">
        <v>3.28</v>
      </c>
      <c r="D92" s="2">
        <v>1000.16</v>
      </c>
      <c r="E92" s="2">
        <v>878.88147999999899</v>
      </c>
      <c r="F92" s="2">
        <f t="shared" si="10"/>
        <v>999.84002559590465</v>
      </c>
      <c r="G92" s="3">
        <f t="shared" si="11"/>
        <v>87.902210103679906</v>
      </c>
      <c r="H92" s="20">
        <v>3.24</v>
      </c>
      <c r="I92" s="2">
        <v>1000.27</v>
      </c>
      <c r="J92" s="2">
        <v>878.89909</v>
      </c>
      <c r="K92" s="2">
        <f t="shared" si="12"/>
        <v>999.73007288032238</v>
      </c>
      <c r="L92" s="2">
        <f t="shared" si="13"/>
        <v>87.866185130014898</v>
      </c>
      <c r="M92" s="20">
        <f t="shared" si="19"/>
        <v>2.9039999999999959</v>
      </c>
      <c r="N92" s="2">
        <f t="shared" si="14"/>
        <v>3.9578182000000073E-2</v>
      </c>
      <c r="O92" s="50">
        <v>2.8512200000000001</v>
      </c>
      <c r="P92" s="48">
        <v>2.8907981820000002</v>
      </c>
      <c r="Q92" s="2">
        <v>876.91542040000002</v>
      </c>
      <c r="R92" s="37">
        <f t="shared" si="15"/>
        <v>1.9836695999999847</v>
      </c>
      <c r="S92" s="41">
        <f t="shared" si="16"/>
        <v>0.22620991190862458</v>
      </c>
      <c r="T92" s="44">
        <f t="shared" si="17"/>
        <v>1.3201817999995757E-2</v>
      </c>
      <c r="U92" s="3">
        <f t="shared" si="18"/>
        <v>0.45460805785109426</v>
      </c>
    </row>
    <row r="93" spans="2:21">
      <c r="B93" s="25">
        <v>89</v>
      </c>
      <c r="C93" s="20">
        <v>3.28</v>
      </c>
      <c r="D93" s="2">
        <v>1000.15089</v>
      </c>
      <c r="E93" s="2">
        <v>888.87145999999996</v>
      </c>
      <c r="F93" s="2">
        <f t="shared" si="10"/>
        <v>999.84913276435714</v>
      </c>
      <c r="G93" s="3">
        <f t="shared" si="11"/>
        <v>88.900558181459942</v>
      </c>
      <c r="H93" s="20">
        <v>3.24</v>
      </c>
      <c r="I93" s="2">
        <v>1000.17</v>
      </c>
      <c r="J93" s="2">
        <v>888.93597999999997</v>
      </c>
      <c r="K93" s="2">
        <f t="shared" si="12"/>
        <v>999.83002889508782</v>
      </c>
      <c r="L93" s="2">
        <f t="shared" si="13"/>
        <v>88.878488656928326</v>
      </c>
      <c r="M93" s="20">
        <f t="shared" si="19"/>
        <v>2.9369999999999958</v>
      </c>
      <c r="N93" s="2">
        <f t="shared" si="14"/>
        <v>3.9828777999999954E-2</v>
      </c>
      <c r="O93" s="50">
        <v>2.8836200000000001</v>
      </c>
      <c r="P93" s="48">
        <v>2.923448778</v>
      </c>
      <c r="Q93" s="2">
        <v>886.81653789999996</v>
      </c>
      <c r="R93" s="37">
        <f t="shared" si="15"/>
        <v>2.1194421000000148</v>
      </c>
      <c r="S93" s="41">
        <f t="shared" si="16"/>
        <v>0.23899442662840925</v>
      </c>
      <c r="T93" s="44">
        <f t="shared" si="17"/>
        <v>1.3551221999995811E-2</v>
      </c>
      <c r="U93" s="3">
        <f t="shared" si="18"/>
        <v>0.46139673135838716</v>
      </c>
    </row>
    <row r="94" spans="2:21">
      <c r="B94" s="25">
        <v>90</v>
      </c>
      <c r="C94" s="20">
        <v>3.28</v>
      </c>
      <c r="D94" s="2">
        <v>1000.11782999999</v>
      </c>
      <c r="E94" s="2">
        <v>898.79171999999903</v>
      </c>
      <c r="F94" s="2">
        <f t="shared" si="10"/>
        <v>999.88218388228324</v>
      </c>
      <c r="G94" s="3">
        <f t="shared" si="11"/>
        <v>89.889762462835748</v>
      </c>
      <c r="H94" s="20">
        <v>3.24</v>
      </c>
      <c r="I94" s="2">
        <v>1000.22999999999</v>
      </c>
      <c r="J94" s="2">
        <v>898.86531000000002</v>
      </c>
      <c r="K94" s="2">
        <f t="shared" si="12"/>
        <v>999.77005288784585</v>
      </c>
      <c r="L94" s="2">
        <f t="shared" si="13"/>
        <v>89.86586185177498</v>
      </c>
      <c r="M94" s="20">
        <f t="shared" si="19"/>
        <v>2.9699999999999958</v>
      </c>
      <c r="N94" s="2">
        <f t="shared" si="14"/>
        <v>4.0073345999999788E-2</v>
      </c>
      <c r="O94" s="50">
        <v>2.9160200000000001</v>
      </c>
      <c r="P94" s="48">
        <v>2.9560933459999998</v>
      </c>
      <c r="Q94" s="2">
        <v>896.72184159999995</v>
      </c>
      <c r="R94" s="37">
        <f t="shared" si="15"/>
        <v>2.1434684000000743</v>
      </c>
      <c r="S94" s="41">
        <f t="shared" si="16"/>
        <v>0.23903381188703215</v>
      </c>
      <c r="T94" s="44">
        <f t="shared" si="17"/>
        <v>1.390665399999591E-2</v>
      </c>
      <c r="U94" s="3">
        <f t="shared" si="18"/>
        <v>0.46823750841737138</v>
      </c>
    </row>
    <row r="95" spans="2:21">
      <c r="B95" s="25">
        <v>91</v>
      </c>
      <c r="C95" s="20">
        <v>3.28</v>
      </c>
      <c r="D95" s="2">
        <v>1000.15752</v>
      </c>
      <c r="E95" s="2">
        <v>908.92601999999897</v>
      </c>
      <c r="F95" s="2">
        <f t="shared" si="10"/>
        <v>999.8425048086425</v>
      </c>
      <c r="G95" s="3">
        <f t="shared" si="11"/>
        <v>90.906919402666944</v>
      </c>
      <c r="H95" s="20">
        <v>3.24</v>
      </c>
      <c r="I95" s="2">
        <v>1000.28</v>
      </c>
      <c r="J95" s="2">
        <v>908.82570999999996</v>
      </c>
      <c r="K95" s="2">
        <f t="shared" si="12"/>
        <v>999.72007837805427</v>
      </c>
      <c r="L95" s="2">
        <f t="shared" si="13"/>
        <v>90.857131003319068</v>
      </c>
      <c r="M95" s="20">
        <f t="shared" si="19"/>
        <v>3.0029999999999957</v>
      </c>
      <c r="N95" s="2">
        <f t="shared" si="14"/>
        <v>4.0336361999989911E-2</v>
      </c>
      <c r="O95" s="50">
        <v>2.94842</v>
      </c>
      <c r="P95" s="48">
        <v>2.98875636199999</v>
      </c>
      <c r="Q95" s="2">
        <v>906.62438640000005</v>
      </c>
      <c r="R95" s="37">
        <f t="shared" si="15"/>
        <v>2.2013235999999097</v>
      </c>
      <c r="S95" s="41">
        <f t="shared" si="16"/>
        <v>0.24280436672797506</v>
      </c>
      <c r="T95" s="44">
        <f t="shared" si="17"/>
        <v>1.4243638000005721E-2</v>
      </c>
      <c r="U95" s="3">
        <f t="shared" si="18"/>
        <v>0.47431361971381092</v>
      </c>
    </row>
    <row r="96" spans="2:21">
      <c r="B96" s="25">
        <v>92</v>
      </c>
      <c r="C96" s="20">
        <v>3.4079999999999999</v>
      </c>
      <c r="D96" s="2">
        <v>1000.23946999999</v>
      </c>
      <c r="E96" s="2">
        <v>918.88053000000002</v>
      </c>
      <c r="F96" s="2">
        <f t="shared" si="10"/>
        <v>999.76058733216155</v>
      </c>
      <c r="G96" s="3">
        <f t="shared" si="11"/>
        <v>91.910057432050991</v>
      </c>
      <c r="H96" s="20">
        <v>3.24</v>
      </c>
      <c r="I96" s="2">
        <v>1000.29999999999</v>
      </c>
      <c r="J96" s="2">
        <v>918.84029999999996</v>
      </c>
      <c r="K96" s="2">
        <f t="shared" si="12"/>
        <v>999.70008997301807</v>
      </c>
      <c r="L96" s="2">
        <f t="shared" si="13"/>
        <v>91.856473058083495</v>
      </c>
      <c r="M96" s="20">
        <f t="shared" si="19"/>
        <v>3.0359999999999956</v>
      </c>
      <c r="N96" s="2">
        <f t="shared" si="14"/>
        <v>4.06049089999998E-2</v>
      </c>
      <c r="O96" s="50">
        <v>2.98082</v>
      </c>
      <c r="P96" s="48">
        <v>3.0214249089999998</v>
      </c>
      <c r="Q96" s="2">
        <v>916.53843500000005</v>
      </c>
      <c r="R96" s="37">
        <f t="shared" si="15"/>
        <v>2.301864999999907</v>
      </c>
      <c r="S96" s="41">
        <f t="shared" si="16"/>
        <v>0.25114767827493312</v>
      </c>
      <c r="T96" s="44">
        <f t="shared" si="17"/>
        <v>1.4575090999995766E-2</v>
      </c>
      <c r="U96" s="3">
        <f t="shared" si="18"/>
        <v>0.48007546113293109</v>
      </c>
    </row>
    <row r="97" spans="2:21">
      <c r="B97" s="25">
        <v>93</v>
      </c>
      <c r="C97" s="20">
        <v>3.6240000000000001</v>
      </c>
      <c r="D97" s="2">
        <v>1000.15717</v>
      </c>
      <c r="E97" s="2">
        <v>928.82616999999902</v>
      </c>
      <c r="F97" s="2">
        <f t="shared" si="10"/>
        <v>999.84285469852716</v>
      </c>
      <c r="G97" s="3">
        <f t="shared" si="11"/>
        <v>92.897215360913776</v>
      </c>
      <c r="H97" s="20">
        <v>3.24</v>
      </c>
      <c r="I97" s="2">
        <v>1000.24934</v>
      </c>
      <c r="J97" s="2">
        <v>928.84333999999899</v>
      </c>
      <c r="K97" s="2">
        <f t="shared" si="12"/>
        <v>999.75072215493788</v>
      </c>
      <c r="L97" s="2">
        <f t="shared" si="13"/>
        <v>92.861179993380347</v>
      </c>
      <c r="M97" s="20">
        <f t="shared" si="19"/>
        <v>3.0689999999999955</v>
      </c>
      <c r="N97" s="2">
        <f t="shared" si="14"/>
        <v>4.0873278999999929E-2</v>
      </c>
      <c r="O97" s="50">
        <v>3.01322</v>
      </c>
      <c r="P97" s="48">
        <v>3.0540932789999999</v>
      </c>
      <c r="Q97" s="2">
        <v>926.44782529999998</v>
      </c>
      <c r="R97" s="37">
        <f t="shared" si="15"/>
        <v>2.395514699999012</v>
      </c>
      <c r="S97" s="41">
        <f t="shared" si="16"/>
        <v>0.2585698443647706</v>
      </c>
      <c r="T97" s="44">
        <f t="shared" si="17"/>
        <v>1.4906720999995571E-2</v>
      </c>
      <c r="U97" s="3">
        <f t="shared" si="18"/>
        <v>0.4857191593351447</v>
      </c>
    </row>
    <row r="98" spans="2:21">
      <c r="B98" s="25">
        <v>94</v>
      </c>
      <c r="C98" s="20">
        <v>3.7040000000000002</v>
      </c>
      <c r="D98" s="2">
        <v>1000.23537</v>
      </c>
      <c r="E98" s="2">
        <v>938.79373999999996</v>
      </c>
      <c r="F98" s="2">
        <f t="shared" si="10"/>
        <v>999.76468538600079</v>
      </c>
      <c r="G98" s="3">
        <f>(E98/F98)*100</f>
        <v>93.901470388258375</v>
      </c>
      <c r="H98" s="20">
        <v>3.24</v>
      </c>
      <c r="I98" s="2">
        <v>1000.21999999999</v>
      </c>
      <c r="J98" s="2">
        <v>938.83041999999898</v>
      </c>
      <c r="K98" s="2">
        <f t="shared" si="12"/>
        <v>999.78004838936442</v>
      </c>
      <c r="L98" s="2">
        <f t="shared" si="13"/>
        <v>93.862392273700621</v>
      </c>
      <c r="M98" s="20">
        <f t="shared" si="19"/>
        <v>3.1019999999999954</v>
      </c>
      <c r="N98" s="2">
        <f t="shared" si="14"/>
        <v>4.1107388999999994E-2</v>
      </c>
      <c r="O98" s="50">
        <v>3.04562</v>
      </c>
      <c r="P98" s="48">
        <v>3.086727389</v>
      </c>
      <c r="Q98" s="2">
        <v>936.34399199999996</v>
      </c>
      <c r="R98" s="37">
        <f t="shared" si="15"/>
        <v>2.4864279999990231</v>
      </c>
      <c r="S98" s="41">
        <f t="shared" si="16"/>
        <v>0.26554642537814493</v>
      </c>
      <c r="T98" s="44">
        <f t="shared" si="17"/>
        <v>1.527261099999544E-2</v>
      </c>
      <c r="U98" s="3">
        <f t="shared" si="18"/>
        <v>0.49234722759495364</v>
      </c>
    </row>
    <row r="99" spans="2:21">
      <c r="B99" s="25">
        <v>95</v>
      </c>
      <c r="C99" s="20">
        <v>3.76</v>
      </c>
      <c r="D99" s="2">
        <v>1000.15808999999</v>
      </c>
      <c r="E99" s="2">
        <v>948.78881999999999</v>
      </c>
      <c r="F99" s="2">
        <f t="shared" si="10"/>
        <v>999.84193498850766</v>
      </c>
      <c r="G99" s="3">
        <f t="shared" si="11"/>
        <v>94.893881402454426</v>
      </c>
      <c r="H99" s="20">
        <v>3.24</v>
      </c>
      <c r="I99" s="2">
        <v>1000.20999999999</v>
      </c>
      <c r="J99" s="2">
        <v>948.78890000000001</v>
      </c>
      <c r="K99" s="2">
        <f t="shared" si="12"/>
        <v>999.79004409075094</v>
      </c>
      <c r="L99" s="2">
        <f t="shared" si="13"/>
        <v>94.858969616381501</v>
      </c>
      <c r="M99" s="20">
        <f t="shared" si="19"/>
        <v>3.1349999999999953</v>
      </c>
      <c r="N99" s="2">
        <f t="shared" si="14"/>
        <v>4.1376352999999977E-2</v>
      </c>
      <c r="O99" s="50">
        <v>3.07802</v>
      </c>
      <c r="P99" s="48">
        <v>3.119396353</v>
      </c>
      <c r="Q99" s="2">
        <v>946.25108560000001</v>
      </c>
      <c r="R99" s="37">
        <f t="shared" si="15"/>
        <v>2.537814400000002</v>
      </c>
      <c r="S99" s="41">
        <f t="shared" si="16"/>
        <v>0.26819672269023836</v>
      </c>
      <c r="T99" s="44">
        <f t="shared" si="17"/>
        <v>1.5603646999995391E-2</v>
      </c>
      <c r="U99" s="3">
        <f t="shared" si="18"/>
        <v>0.49772398724068306</v>
      </c>
    </row>
    <row r="100" spans="2:21">
      <c r="B100" s="25">
        <v>96</v>
      </c>
      <c r="C100" s="20">
        <v>3.968</v>
      </c>
      <c r="D100" s="2">
        <v>1000.20808</v>
      </c>
      <c r="E100" s="2">
        <v>958.86473000000001</v>
      </c>
      <c r="F100" s="2">
        <f t="shared" si="10"/>
        <v>999.79196328827891</v>
      </c>
      <c r="G100" s="3">
        <f t="shared" si="11"/>
        <v>95.906425057301846</v>
      </c>
      <c r="H100" s="20">
        <v>3.24</v>
      </c>
      <c r="I100" s="2">
        <v>1000.1899999999901</v>
      </c>
      <c r="J100" s="2">
        <v>958.84227999999996</v>
      </c>
      <c r="K100" s="2">
        <f t="shared" si="12"/>
        <v>999.81003609315223</v>
      </c>
      <c r="L100" s="2">
        <f t="shared" si="13"/>
        <v>95.866013457444026</v>
      </c>
      <c r="M100" s="20">
        <f t="shared" si="19"/>
        <v>3.1679999999999953</v>
      </c>
      <c r="N100" s="2">
        <f t="shared" si="14"/>
        <v>4.1658631999999862E-2</v>
      </c>
      <c r="O100" s="50">
        <v>3.11042</v>
      </c>
      <c r="P100" s="48">
        <v>3.1520786319999998</v>
      </c>
      <c r="Q100" s="2">
        <v>956.17215120000003</v>
      </c>
      <c r="R100" s="37">
        <f t="shared" si="15"/>
        <v>2.6701287999999295</v>
      </c>
      <c r="S100" s="41">
        <f t="shared" si="16"/>
        <v>0.27925188959424374</v>
      </c>
      <c r="T100" s="44">
        <f t="shared" si="17"/>
        <v>1.5921367999995439E-2</v>
      </c>
      <c r="U100" s="3">
        <f t="shared" si="18"/>
        <v>0.50256843434329113</v>
      </c>
    </row>
    <row r="101" spans="2:21">
      <c r="B101" s="25">
        <v>97</v>
      </c>
      <c r="C101" s="20">
        <v>3.7280000000000002</v>
      </c>
      <c r="D101" s="2">
        <v>1000.17909</v>
      </c>
      <c r="E101" s="2">
        <v>968.81299000000001</v>
      </c>
      <c r="F101" s="2">
        <f t="shared" si="10"/>
        <v>999.82094206748525</v>
      </c>
      <c r="G101" s="3">
        <f t="shared" si="11"/>
        <v>96.898649471837899</v>
      </c>
      <c r="H101" s="20">
        <v>3.42</v>
      </c>
      <c r="I101" s="2">
        <v>1000.27</v>
      </c>
      <c r="J101" s="2">
        <v>968.81369999999902</v>
      </c>
      <c r="K101" s="2">
        <f t="shared" si="12"/>
        <v>999.73007288032238</v>
      </c>
      <c r="L101" s="2">
        <f t="shared" si="13"/>
        <v>96.855219090845381</v>
      </c>
      <c r="M101" s="20">
        <f t="shared" si="19"/>
        <v>3.2009999999999952</v>
      </c>
      <c r="N101" s="2">
        <f t="shared" si="14"/>
        <v>4.1892076999999972E-2</v>
      </c>
      <c r="O101" s="50">
        <v>3.1428199999999999</v>
      </c>
      <c r="P101" s="48">
        <v>3.1847120769999999</v>
      </c>
      <c r="Q101" s="2">
        <v>966.07416850000004</v>
      </c>
      <c r="R101" s="37">
        <f t="shared" si="15"/>
        <v>2.7395314999989751</v>
      </c>
      <c r="S101" s="41">
        <f t="shared" si="16"/>
        <v>0.28357362087970733</v>
      </c>
      <c r="T101" s="44">
        <f t="shared" si="17"/>
        <v>1.6287922999995263E-2</v>
      </c>
      <c r="U101" s="3">
        <f t="shared" si="18"/>
        <v>0.50883858169307361</v>
      </c>
    </row>
    <row r="102" spans="2:21">
      <c r="B102" s="25">
        <v>98</v>
      </c>
      <c r="C102" s="20">
        <v>3.70399999999999</v>
      </c>
      <c r="D102" s="2">
        <v>1000.32720999999</v>
      </c>
      <c r="E102" s="2">
        <v>978.71906999999999</v>
      </c>
      <c r="F102" s="2">
        <f t="shared" si="10"/>
        <v>999.67289703137237</v>
      </c>
      <c r="G102" s="3">
        <f t="shared" si="11"/>
        <v>97.903931666688493</v>
      </c>
      <c r="H102" s="20">
        <v>3.452</v>
      </c>
      <c r="I102" s="2">
        <v>1000.16</v>
      </c>
      <c r="J102" s="2">
        <v>978.79535999999996</v>
      </c>
      <c r="K102" s="2">
        <f t="shared" si="12"/>
        <v>999.84002559590465</v>
      </c>
      <c r="L102" s="2">
        <f t="shared" si="13"/>
        <v>97.863877779555281</v>
      </c>
      <c r="M102" s="20">
        <f t="shared" si="19"/>
        <v>3.2339999999999951</v>
      </c>
      <c r="N102" s="2">
        <f t="shared" si="14"/>
        <v>4.2308534000000009E-2</v>
      </c>
      <c r="O102" s="50">
        <v>3.1752199999999999</v>
      </c>
      <c r="P102" s="48">
        <v>3.2175285339999999</v>
      </c>
      <c r="Q102" s="2">
        <v>975.98494229999994</v>
      </c>
      <c r="R102" s="37">
        <f t="shared" si="15"/>
        <v>2.8104177000000163</v>
      </c>
      <c r="S102" s="41">
        <f t="shared" si="16"/>
        <v>0.28795707579022722</v>
      </c>
      <c r="T102" s="44">
        <f t="shared" si="17"/>
        <v>1.6471465999995161E-2</v>
      </c>
      <c r="U102" s="3">
        <f t="shared" si="18"/>
        <v>0.50932176870733414</v>
      </c>
    </row>
    <row r="103" spans="2:21" ht="15" thickBot="1">
      <c r="B103" s="26">
        <v>99</v>
      </c>
      <c r="C103" s="27">
        <v>3.9279999999999999</v>
      </c>
      <c r="D103" s="4">
        <v>1000.23901999999</v>
      </c>
      <c r="E103" s="4">
        <v>988.80431999999905</v>
      </c>
      <c r="F103" s="4">
        <f t="shared" si="10"/>
        <v>999.76103711691826</v>
      </c>
      <c r="G103" s="5">
        <f t="shared" si="11"/>
        <v>98.904066400855555</v>
      </c>
      <c r="H103" s="27">
        <v>3.472</v>
      </c>
      <c r="I103" s="4">
        <v>1000.21</v>
      </c>
      <c r="J103" s="4">
        <v>988.79885999999999</v>
      </c>
      <c r="K103" s="4">
        <f t="shared" si="12"/>
        <v>999.79004409074105</v>
      </c>
      <c r="L103" s="4">
        <f t="shared" si="13"/>
        <v>98.859125583627446</v>
      </c>
      <c r="M103" s="27">
        <f>M102+0.033</f>
        <v>3.266999999999995</v>
      </c>
      <c r="N103" s="4">
        <f t="shared" si="14"/>
        <v>4.2445045000000015E-2</v>
      </c>
      <c r="O103" s="51">
        <v>3.2076199999999999</v>
      </c>
      <c r="P103" s="49">
        <v>3.2500650449999999</v>
      </c>
      <c r="Q103" s="4">
        <v>985.88465870000005</v>
      </c>
      <c r="R103" s="38">
        <f t="shared" si="15"/>
        <v>2.9142012999999451</v>
      </c>
      <c r="S103" s="42">
        <f t="shared" si="16"/>
        <v>0.29559251929557845</v>
      </c>
      <c r="T103" s="45">
        <f t="shared" si="17"/>
        <v>1.6934954999995089E-2</v>
      </c>
      <c r="U103" s="5">
        <f>T102/M102*100</f>
        <v>0.50932176870733414</v>
      </c>
    </row>
    <row r="104" spans="2:21">
      <c r="E104" s="1"/>
      <c r="F104" s="1"/>
      <c r="G104" s="1"/>
      <c r="J104" s="1"/>
      <c r="K104" s="1"/>
      <c r="L104" s="1"/>
      <c r="M104" s="1"/>
      <c r="N104" s="1"/>
      <c r="O104" s="28"/>
      <c r="P10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F89A-D63C-4A2A-96C7-A7C3FCFC7925}">
  <dimension ref="B2:S103"/>
  <sheetViews>
    <sheetView tabSelected="1" workbookViewId="0">
      <selection activeCell="H2" sqref="H2:L2"/>
    </sheetView>
  </sheetViews>
  <sheetFormatPr defaultRowHeight="15"/>
  <cols>
    <col min="2" max="2" width="18.140625" bestFit="1" customWidth="1"/>
    <col min="3" max="3" width="17.140625" bestFit="1" customWidth="1"/>
    <col min="4" max="4" width="13.42578125" customWidth="1"/>
    <col min="5" max="5" width="17.140625" bestFit="1" customWidth="1"/>
    <col min="6" max="6" width="14.42578125" bestFit="1" customWidth="1"/>
    <col min="7" max="7" width="17" bestFit="1" customWidth="1"/>
    <col min="8" max="8" width="22.140625" customWidth="1"/>
    <col min="9" max="9" width="16.140625" customWidth="1"/>
    <col min="10" max="10" width="16.140625" bestFit="1" customWidth="1"/>
    <col min="11" max="11" width="13.28515625" bestFit="1" customWidth="1"/>
    <col min="12" max="12" width="17" bestFit="1" customWidth="1"/>
    <col min="13" max="13" width="18.140625" bestFit="1" customWidth="1"/>
    <col min="14" max="14" width="13.140625" bestFit="1" customWidth="1"/>
    <col min="15" max="15" width="13.5703125" bestFit="1" customWidth="1"/>
    <col min="16" max="16" width="13.7109375" bestFit="1" customWidth="1"/>
    <col min="17" max="17" width="15.85546875" bestFit="1" customWidth="1"/>
    <col min="18" max="18" width="13.7109375" bestFit="1" customWidth="1"/>
    <col min="19" max="19" width="15.85546875" bestFit="1" customWidth="1"/>
  </cols>
  <sheetData>
    <row r="2" spans="2:19" ht="25.5" customHeight="1">
      <c r="B2" s="93" t="s">
        <v>29</v>
      </c>
      <c r="C2" s="89" t="s">
        <v>1</v>
      </c>
      <c r="D2" s="89"/>
      <c r="E2" s="89"/>
      <c r="F2" s="89"/>
      <c r="G2" s="91" t="s">
        <v>30</v>
      </c>
      <c r="H2" s="94" t="s">
        <v>31</v>
      </c>
      <c r="I2" s="95" t="s">
        <v>32</v>
      </c>
      <c r="J2" s="89"/>
      <c r="K2" s="89"/>
      <c r="L2" s="90" t="s">
        <v>30</v>
      </c>
      <c r="M2" s="92" t="s">
        <v>30</v>
      </c>
      <c r="N2" s="64" t="s">
        <v>3</v>
      </c>
      <c r="O2" s="63" t="s">
        <v>30</v>
      </c>
      <c r="P2" s="65" t="s">
        <v>4</v>
      </c>
      <c r="Q2" s="66" t="s">
        <v>30</v>
      </c>
      <c r="R2" s="66" t="s">
        <v>30</v>
      </c>
      <c r="S2" s="67" t="s">
        <v>30</v>
      </c>
    </row>
    <row r="3" spans="2:19" ht="18.75">
      <c r="B3" s="68" t="s">
        <v>30</v>
      </c>
      <c r="C3" s="69" t="s">
        <v>30</v>
      </c>
      <c r="D3" s="70" t="s">
        <v>30</v>
      </c>
      <c r="E3" s="69" t="s">
        <v>5</v>
      </c>
      <c r="F3" s="69" t="s">
        <v>30</v>
      </c>
      <c r="G3" s="69" t="s">
        <v>30</v>
      </c>
      <c r="H3" s="71" t="s">
        <v>30</v>
      </c>
      <c r="I3" s="86" t="s">
        <v>30</v>
      </c>
      <c r="J3" s="69" t="s">
        <v>6</v>
      </c>
      <c r="K3" s="69" t="s">
        <v>30</v>
      </c>
      <c r="L3" s="69" t="s">
        <v>30</v>
      </c>
      <c r="M3" s="72" t="s">
        <v>7</v>
      </c>
      <c r="N3" s="73" t="s">
        <v>8</v>
      </c>
      <c r="O3" s="69" t="s">
        <v>9</v>
      </c>
      <c r="P3" s="74" t="s">
        <v>10</v>
      </c>
      <c r="Q3" s="75" t="s">
        <v>11</v>
      </c>
      <c r="R3" s="75" t="s">
        <v>10</v>
      </c>
      <c r="S3" s="76" t="s">
        <v>11</v>
      </c>
    </row>
    <row r="4" spans="2:19">
      <c r="B4" s="77" t="s">
        <v>12</v>
      </c>
      <c r="C4" s="78" t="s">
        <v>13</v>
      </c>
      <c r="D4" s="78" t="s">
        <v>14</v>
      </c>
      <c r="E4" s="78" t="s">
        <v>33</v>
      </c>
      <c r="F4" s="78" t="s">
        <v>34</v>
      </c>
      <c r="G4" s="79" t="s">
        <v>17</v>
      </c>
      <c r="H4" s="78" t="s">
        <v>13</v>
      </c>
      <c r="I4" s="87" t="s">
        <v>14</v>
      </c>
      <c r="J4" s="78" t="s">
        <v>18</v>
      </c>
      <c r="K4" s="78" t="s">
        <v>19</v>
      </c>
      <c r="L4" s="78" t="s">
        <v>17</v>
      </c>
      <c r="M4" s="77" t="s">
        <v>20</v>
      </c>
      <c r="N4" s="79" t="s">
        <v>23</v>
      </c>
      <c r="O4" s="78" t="s">
        <v>24</v>
      </c>
      <c r="P4" s="80" t="s">
        <v>25</v>
      </c>
      <c r="Q4" s="79" t="s">
        <v>26</v>
      </c>
      <c r="R4" s="79" t="s">
        <v>27</v>
      </c>
      <c r="S4" s="79" t="s">
        <v>28</v>
      </c>
    </row>
    <row r="5" spans="2:19">
      <c r="B5" s="81">
        <v>1</v>
      </c>
      <c r="C5" s="82">
        <v>2.08</v>
      </c>
      <c r="D5" s="82">
        <v>999.36</v>
      </c>
      <c r="E5" s="82">
        <v>10.02</v>
      </c>
      <c r="F5" s="82">
        <v>1000.64</v>
      </c>
      <c r="G5" s="83">
        <v>1</v>
      </c>
      <c r="H5" s="82">
        <v>3.44</v>
      </c>
      <c r="I5" s="88">
        <v>999.37</v>
      </c>
      <c r="J5" s="82">
        <v>10.01</v>
      </c>
      <c r="K5" s="82">
        <v>1000.63</v>
      </c>
      <c r="L5" s="82">
        <v>1</v>
      </c>
      <c r="M5" s="81">
        <v>3.3000000000000002E-2</v>
      </c>
      <c r="N5" s="82">
        <v>4.1200000000000001E-2</v>
      </c>
      <c r="O5" s="83">
        <v>12.58</v>
      </c>
      <c r="P5" s="84">
        <v>2.57</v>
      </c>
      <c r="Q5" s="83">
        <v>20.43</v>
      </c>
      <c r="R5" s="83">
        <v>8.0000000000000002E-3</v>
      </c>
      <c r="S5" s="83">
        <v>24.72</v>
      </c>
    </row>
    <row r="6" spans="2:19">
      <c r="B6" s="81">
        <v>2</v>
      </c>
      <c r="C6" s="82">
        <v>2.0699999999999998</v>
      </c>
      <c r="D6" s="82">
        <v>999.41</v>
      </c>
      <c r="E6" s="82">
        <v>20.010000000000002</v>
      </c>
      <c r="F6" s="82">
        <v>1000.59</v>
      </c>
      <c r="G6" s="83">
        <v>2</v>
      </c>
      <c r="H6" s="82">
        <v>3.45</v>
      </c>
      <c r="I6" s="88">
        <v>999.28</v>
      </c>
      <c r="J6" s="82">
        <v>19.989999999999998</v>
      </c>
      <c r="K6" s="82">
        <v>1000.72</v>
      </c>
      <c r="L6" s="82">
        <v>2</v>
      </c>
      <c r="M6" s="81">
        <v>6.6000000000000003E-2</v>
      </c>
      <c r="N6" s="82">
        <v>7.3999999999999996E-2</v>
      </c>
      <c r="O6" s="83">
        <v>22.44</v>
      </c>
      <c r="P6" s="84">
        <v>2.4500000000000002</v>
      </c>
      <c r="Q6" s="83">
        <v>10.93</v>
      </c>
      <c r="R6" s="83">
        <v>8.0000000000000002E-3</v>
      </c>
      <c r="S6" s="83">
        <v>12.12</v>
      </c>
    </row>
    <row r="7" spans="2:19">
      <c r="B7" s="81">
        <v>3</v>
      </c>
      <c r="C7" s="82">
        <v>2.08</v>
      </c>
      <c r="D7" s="82">
        <v>999.36</v>
      </c>
      <c r="E7" s="82">
        <v>30.01</v>
      </c>
      <c r="F7" s="82">
        <v>1000.64</v>
      </c>
      <c r="G7" s="83">
        <v>3</v>
      </c>
      <c r="H7" s="82">
        <v>3.44</v>
      </c>
      <c r="I7" s="88">
        <v>999.34</v>
      </c>
      <c r="J7" s="82">
        <v>29.98</v>
      </c>
      <c r="K7" s="82">
        <v>1000.66</v>
      </c>
      <c r="L7" s="82">
        <v>3</v>
      </c>
      <c r="M7" s="81">
        <v>9.9000000000000005E-2</v>
      </c>
      <c r="N7" s="82">
        <v>0.10680000000000001</v>
      </c>
      <c r="O7" s="83">
        <v>32.42</v>
      </c>
      <c r="P7" s="84">
        <v>2.44</v>
      </c>
      <c r="Q7" s="83">
        <v>7.53</v>
      </c>
      <c r="R7" s="83">
        <v>8.0000000000000002E-3</v>
      </c>
      <c r="S7" s="83">
        <v>7.89</v>
      </c>
    </row>
    <row r="8" spans="2:19">
      <c r="B8" s="81">
        <v>4</v>
      </c>
      <c r="C8" s="82">
        <v>2.19</v>
      </c>
      <c r="D8" s="82">
        <v>999.48</v>
      </c>
      <c r="E8" s="82">
        <v>40.049999999999997</v>
      </c>
      <c r="F8" s="82">
        <v>1000.52</v>
      </c>
      <c r="G8" s="83">
        <v>4</v>
      </c>
      <c r="H8" s="82">
        <v>3.36</v>
      </c>
      <c r="I8" s="88">
        <v>999.36</v>
      </c>
      <c r="J8" s="82">
        <v>39.97</v>
      </c>
      <c r="K8" s="82">
        <v>1000.64</v>
      </c>
      <c r="L8" s="82">
        <v>4</v>
      </c>
      <c r="M8" s="81">
        <v>0.13200000000000001</v>
      </c>
      <c r="N8" s="82">
        <v>0.13969999999999999</v>
      </c>
      <c r="O8" s="83">
        <v>42.4</v>
      </c>
      <c r="P8" s="84">
        <v>2.4300000000000002</v>
      </c>
      <c r="Q8" s="83">
        <v>5.73</v>
      </c>
      <c r="R8" s="83">
        <v>8.0000000000000002E-3</v>
      </c>
      <c r="S8" s="83">
        <v>5.83</v>
      </c>
    </row>
    <row r="9" spans="2:19">
      <c r="B9" s="81">
        <v>5</v>
      </c>
      <c r="C9" s="82">
        <v>2.1</v>
      </c>
      <c r="D9" s="82">
        <v>999.4</v>
      </c>
      <c r="E9" s="82">
        <v>50.05</v>
      </c>
      <c r="F9" s="82">
        <v>1000.6</v>
      </c>
      <c r="G9" s="83">
        <v>5</v>
      </c>
      <c r="H9" s="82">
        <v>3.28</v>
      </c>
      <c r="I9" s="88">
        <v>999.41</v>
      </c>
      <c r="J9" s="82">
        <v>49.99</v>
      </c>
      <c r="K9" s="82">
        <v>1000.59</v>
      </c>
      <c r="L9" s="82">
        <v>5</v>
      </c>
      <c r="M9" s="81">
        <v>0.16500000000000001</v>
      </c>
      <c r="N9" s="82">
        <v>0.1726</v>
      </c>
      <c r="O9" s="83">
        <v>52.39</v>
      </c>
      <c r="P9" s="84">
        <v>2.39</v>
      </c>
      <c r="Q9" s="83">
        <v>4.57</v>
      </c>
      <c r="R9" s="83">
        <v>8.0000000000000002E-3</v>
      </c>
      <c r="S9" s="83">
        <v>4.6100000000000003</v>
      </c>
    </row>
    <row r="10" spans="2:19">
      <c r="B10" s="81">
        <v>6</v>
      </c>
      <c r="C10" s="82">
        <v>2.0099999999999998</v>
      </c>
      <c r="D10" s="82">
        <v>999.36</v>
      </c>
      <c r="E10" s="82">
        <v>60.16</v>
      </c>
      <c r="F10" s="82">
        <v>1000.64</v>
      </c>
      <c r="G10" s="83">
        <v>6.01</v>
      </c>
      <c r="H10" s="82">
        <v>3.28</v>
      </c>
      <c r="I10" s="88">
        <v>999.36</v>
      </c>
      <c r="J10" s="82">
        <v>60.06</v>
      </c>
      <c r="K10" s="82">
        <v>1000.64</v>
      </c>
      <c r="L10" s="82">
        <v>6.01</v>
      </c>
      <c r="M10" s="81">
        <v>0.19800000000000001</v>
      </c>
      <c r="N10" s="82">
        <v>0.20549999999999999</v>
      </c>
      <c r="O10" s="83">
        <v>62.36</v>
      </c>
      <c r="P10" s="84">
        <v>2.2999999999999998</v>
      </c>
      <c r="Q10" s="83">
        <v>3.7</v>
      </c>
      <c r="R10" s="83">
        <v>8.0000000000000002E-3</v>
      </c>
      <c r="S10" s="83">
        <v>3.79</v>
      </c>
    </row>
    <row r="11" spans="2:19">
      <c r="B11" s="81">
        <v>7</v>
      </c>
      <c r="C11" s="82">
        <v>2.06</v>
      </c>
      <c r="D11" s="82">
        <v>999.44</v>
      </c>
      <c r="E11" s="82">
        <v>70</v>
      </c>
      <c r="F11" s="82">
        <v>1000.56</v>
      </c>
      <c r="G11" s="83">
        <v>7</v>
      </c>
      <c r="H11" s="82">
        <v>3.28</v>
      </c>
      <c r="I11" s="88">
        <v>999.41</v>
      </c>
      <c r="J11" s="82">
        <v>69.94</v>
      </c>
      <c r="K11" s="82">
        <v>1000.59</v>
      </c>
      <c r="L11" s="82">
        <v>7</v>
      </c>
      <c r="M11" s="81">
        <v>0.23100000000000001</v>
      </c>
      <c r="N11" s="82">
        <v>0.2384</v>
      </c>
      <c r="O11" s="83">
        <v>72.349999999999994</v>
      </c>
      <c r="P11" s="84">
        <v>2.4</v>
      </c>
      <c r="Q11" s="83">
        <v>3.32</v>
      </c>
      <c r="R11" s="83">
        <v>7.0000000000000001E-3</v>
      </c>
      <c r="S11" s="83">
        <v>3.21</v>
      </c>
    </row>
    <row r="12" spans="2:19">
      <c r="B12" s="81">
        <v>8</v>
      </c>
      <c r="C12" s="82">
        <v>2</v>
      </c>
      <c r="D12" s="82">
        <v>999.36</v>
      </c>
      <c r="E12" s="82">
        <v>80.08</v>
      </c>
      <c r="F12" s="82">
        <v>1000.64</v>
      </c>
      <c r="G12" s="83">
        <v>8</v>
      </c>
      <c r="H12" s="82">
        <v>3.28</v>
      </c>
      <c r="I12" s="88">
        <v>999.32</v>
      </c>
      <c r="J12" s="82">
        <v>79.95</v>
      </c>
      <c r="K12" s="82">
        <v>1000.68</v>
      </c>
      <c r="L12" s="82">
        <v>8</v>
      </c>
      <c r="M12" s="81">
        <v>0.26400000000000001</v>
      </c>
      <c r="N12" s="82">
        <v>0.27129999999999999</v>
      </c>
      <c r="O12" s="83">
        <v>82.32</v>
      </c>
      <c r="P12" s="84">
        <v>2.37</v>
      </c>
      <c r="Q12" s="83">
        <v>2.88</v>
      </c>
      <c r="R12" s="83">
        <v>7.0000000000000001E-3</v>
      </c>
      <c r="S12" s="83">
        <v>2.76</v>
      </c>
    </row>
    <row r="13" spans="2:19">
      <c r="B13" s="81">
        <v>9</v>
      </c>
      <c r="C13" s="82">
        <v>1.86</v>
      </c>
      <c r="D13" s="82">
        <v>999.36</v>
      </c>
      <c r="E13" s="82">
        <v>90</v>
      </c>
      <c r="F13" s="82">
        <v>1000.64</v>
      </c>
      <c r="G13" s="83">
        <v>8.99</v>
      </c>
      <c r="H13" s="82">
        <v>3.28</v>
      </c>
      <c r="I13" s="88">
        <v>999.43</v>
      </c>
      <c r="J13" s="82">
        <v>90.07</v>
      </c>
      <c r="K13" s="82">
        <v>1000.57</v>
      </c>
      <c r="L13" s="82">
        <v>9.01</v>
      </c>
      <c r="M13" s="81">
        <v>0.29699999999999999</v>
      </c>
      <c r="N13" s="82">
        <v>0.30420000000000003</v>
      </c>
      <c r="O13" s="83">
        <v>92.3</v>
      </c>
      <c r="P13" s="84">
        <v>2.23</v>
      </c>
      <c r="Q13" s="83">
        <v>2.42</v>
      </c>
      <c r="R13" s="83">
        <v>7.0000000000000001E-3</v>
      </c>
      <c r="S13" s="83">
        <v>2.41</v>
      </c>
    </row>
    <row r="14" spans="2:19">
      <c r="B14" s="81">
        <v>10</v>
      </c>
      <c r="C14" s="82">
        <v>1.84</v>
      </c>
      <c r="D14" s="82">
        <v>999.32</v>
      </c>
      <c r="E14" s="82">
        <v>99.96</v>
      </c>
      <c r="F14" s="82">
        <v>1000.68</v>
      </c>
      <c r="G14" s="83">
        <v>9.99</v>
      </c>
      <c r="H14" s="82">
        <v>3.28</v>
      </c>
      <c r="I14" s="88">
        <v>999.35</v>
      </c>
      <c r="J14" s="82">
        <v>100.03</v>
      </c>
      <c r="K14" s="82">
        <v>1000.65</v>
      </c>
      <c r="L14" s="82">
        <v>10.01</v>
      </c>
      <c r="M14" s="81">
        <v>0.33</v>
      </c>
      <c r="N14" s="82">
        <v>0.33710000000000001</v>
      </c>
      <c r="O14" s="83">
        <v>102.28</v>
      </c>
      <c r="P14" s="84">
        <v>2.25</v>
      </c>
      <c r="Q14" s="83">
        <v>2.2000000000000002</v>
      </c>
      <c r="R14" s="83">
        <v>7.0000000000000001E-3</v>
      </c>
      <c r="S14" s="83">
        <v>2.15</v>
      </c>
    </row>
    <row r="15" spans="2:19">
      <c r="B15" s="81">
        <v>11</v>
      </c>
      <c r="C15" s="82">
        <v>1.84</v>
      </c>
      <c r="D15" s="82">
        <v>999.48</v>
      </c>
      <c r="E15" s="82">
        <v>109.96</v>
      </c>
      <c r="F15" s="82">
        <v>1000.52</v>
      </c>
      <c r="G15" s="83">
        <v>10.99</v>
      </c>
      <c r="H15" s="82">
        <v>3.28</v>
      </c>
      <c r="I15" s="88">
        <v>999.36</v>
      </c>
      <c r="J15" s="82">
        <v>110.03</v>
      </c>
      <c r="K15" s="82">
        <v>1000.64</v>
      </c>
      <c r="L15" s="82">
        <v>11.01</v>
      </c>
      <c r="M15" s="81">
        <v>0.36299999999999999</v>
      </c>
      <c r="N15" s="82">
        <v>0.37</v>
      </c>
      <c r="O15" s="83">
        <v>112.26</v>
      </c>
      <c r="P15" s="84">
        <v>2.23</v>
      </c>
      <c r="Q15" s="83">
        <v>1.99</v>
      </c>
      <c r="R15" s="83">
        <v>7.0000000000000001E-3</v>
      </c>
      <c r="S15" s="83">
        <v>1.92</v>
      </c>
    </row>
    <row r="16" spans="2:19">
      <c r="B16" s="81">
        <v>12</v>
      </c>
      <c r="C16" s="82">
        <v>1.84</v>
      </c>
      <c r="D16" s="82">
        <v>999.52</v>
      </c>
      <c r="E16" s="82">
        <v>120.04</v>
      </c>
      <c r="F16" s="82">
        <v>1000.48</v>
      </c>
      <c r="G16" s="83">
        <v>12</v>
      </c>
      <c r="H16" s="82">
        <v>3.28</v>
      </c>
      <c r="I16" s="88">
        <v>999.36</v>
      </c>
      <c r="J16" s="82">
        <v>119.93</v>
      </c>
      <c r="K16" s="82">
        <v>1000.65</v>
      </c>
      <c r="L16" s="82">
        <v>12</v>
      </c>
      <c r="M16" s="81">
        <v>0.39600000000000002</v>
      </c>
      <c r="N16" s="82">
        <v>0.40279999999999999</v>
      </c>
      <c r="O16" s="83">
        <v>122.21</v>
      </c>
      <c r="P16" s="84">
        <v>2.2799999999999998</v>
      </c>
      <c r="Q16" s="83">
        <v>1.87</v>
      </c>
      <c r="R16" s="83">
        <v>7.0000000000000001E-3</v>
      </c>
      <c r="S16" s="83">
        <v>1.73</v>
      </c>
    </row>
    <row r="17" spans="2:19">
      <c r="B17" s="81">
        <v>13</v>
      </c>
      <c r="C17" s="82">
        <v>1.84</v>
      </c>
      <c r="D17" s="82">
        <v>999.48</v>
      </c>
      <c r="E17" s="82">
        <v>129.96</v>
      </c>
      <c r="F17" s="82">
        <v>1000.52</v>
      </c>
      <c r="G17" s="83">
        <v>12.99</v>
      </c>
      <c r="H17" s="82">
        <v>3.28</v>
      </c>
      <c r="I17" s="88">
        <v>999.46</v>
      </c>
      <c r="J17" s="82">
        <v>129.96</v>
      </c>
      <c r="K17" s="82">
        <v>1000.54</v>
      </c>
      <c r="L17" s="82">
        <v>13</v>
      </c>
      <c r="M17" s="81">
        <v>0.42899999999999999</v>
      </c>
      <c r="N17" s="82">
        <v>0.43569999999999998</v>
      </c>
      <c r="O17" s="83">
        <v>132.19</v>
      </c>
      <c r="P17" s="84">
        <v>2.23</v>
      </c>
      <c r="Q17" s="83">
        <v>1.68</v>
      </c>
      <c r="R17" s="83">
        <v>7.0000000000000001E-3</v>
      </c>
      <c r="S17" s="83">
        <v>1.57</v>
      </c>
    </row>
    <row r="18" spans="2:19">
      <c r="B18" s="81">
        <v>14</v>
      </c>
      <c r="C18" s="82">
        <v>1.84</v>
      </c>
      <c r="D18" s="82">
        <v>999.39</v>
      </c>
      <c r="E18" s="82">
        <v>140</v>
      </c>
      <c r="F18" s="82">
        <v>1000.61</v>
      </c>
      <c r="G18" s="83">
        <v>13.99</v>
      </c>
      <c r="H18" s="82">
        <v>3.28</v>
      </c>
      <c r="I18" s="88">
        <v>999.29</v>
      </c>
      <c r="J18" s="82">
        <v>140.02000000000001</v>
      </c>
      <c r="K18" s="82">
        <v>1000.71</v>
      </c>
      <c r="L18" s="82">
        <v>14.01</v>
      </c>
      <c r="M18" s="81">
        <v>0.46200000000000002</v>
      </c>
      <c r="N18" s="82">
        <v>0.46860000000000002</v>
      </c>
      <c r="O18" s="83">
        <v>142.16</v>
      </c>
      <c r="P18" s="84">
        <v>2.14</v>
      </c>
      <c r="Q18" s="83">
        <v>1.51</v>
      </c>
      <c r="R18" s="83">
        <v>7.0000000000000001E-3</v>
      </c>
      <c r="S18" s="83">
        <v>1.43</v>
      </c>
    </row>
    <row r="19" spans="2:19">
      <c r="B19" s="81">
        <v>15</v>
      </c>
      <c r="C19" s="82">
        <v>1.84</v>
      </c>
      <c r="D19" s="82">
        <v>999.4</v>
      </c>
      <c r="E19" s="82">
        <v>150.04</v>
      </c>
      <c r="F19" s="82">
        <v>1000.6</v>
      </c>
      <c r="G19" s="83">
        <v>15</v>
      </c>
      <c r="H19" s="82">
        <v>3.28</v>
      </c>
      <c r="I19" s="88">
        <v>999.43</v>
      </c>
      <c r="J19" s="82">
        <v>150.13999999999999</v>
      </c>
      <c r="K19" s="82">
        <v>1000.57</v>
      </c>
      <c r="L19" s="82">
        <v>15.02</v>
      </c>
      <c r="M19" s="81">
        <v>0.495</v>
      </c>
      <c r="N19" s="82">
        <v>0.50149999999999995</v>
      </c>
      <c r="O19" s="83">
        <v>152.13</v>
      </c>
      <c r="P19" s="84">
        <v>1.99</v>
      </c>
      <c r="Q19" s="83">
        <v>1.31</v>
      </c>
      <c r="R19" s="83">
        <v>6.0000000000000001E-3</v>
      </c>
      <c r="S19" s="83">
        <v>1.31</v>
      </c>
    </row>
    <row r="20" spans="2:19">
      <c r="B20" s="81">
        <v>16</v>
      </c>
      <c r="C20" s="82">
        <v>1.84</v>
      </c>
      <c r="D20" s="82">
        <v>999.48</v>
      </c>
      <c r="E20" s="82">
        <v>160.04</v>
      </c>
      <c r="F20" s="82">
        <v>1000.52</v>
      </c>
      <c r="G20" s="83">
        <v>16</v>
      </c>
      <c r="H20" s="82">
        <v>3.28</v>
      </c>
      <c r="I20" s="88">
        <v>999.47</v>
      </c>
      <c r="J20" s="82">
        <v>159.97999999999999</v>
      </c>
      <c r="K20" s="82">
        <v>1000.53</v>
      </c>
      <c r="L20" s="82">
        <v>16.010000000000002</v>
      </c>
      <c r="M20" s="81">
        <v>0.52800000000000002</v>
      </c>
      <c r="N20" s="82">
        <v>0.5343</v>
      </c>
      <c r="O20" s="83">
        <v>162.11000000000001</v>
      </c>
      <c r="P20" s="84">
        <v>2.13</v>
      </c>
      <c r="Q20" s="83">
        <v>1.31</v>
      </c>
      <c r="R20" s="83">
        <v>6.0000000000000001E-3</v>
      </c>
      <c r="S20" s="83">
        <v>1.2</v>
      </c>
    </row>
    <row r="21" spans="2:19">
      <c r="B21" s="81">
        <v>17</v>
      </c>
      <c r="C21" s="82">
        <v>1.84</v>
      </c>
      <c r="D21" s="82">
        <v>999.44</v>
      </c>
      <c r="E21" s="82">
        <v>169.92</v>
      </c>
      <c r="F21" s="82">
        <v>1000.56</v>
      </c>
      <c r="G21" s="83">
        <v>16.98</v>
      </c>
      <c r="H21" s="82">
        <v>3.28</v>
      </c>
      <c r="I21" s="88">
        <v>999.48</v>
      </c>
      <c r="J21" s="82">
        <v>170.01</v>
      </c>
      <c r="K21" s="82">
        <v>1000.52</v>
      </c>
      <c r="L21" s="82">
        <v>17.010000000000002</v>
      </c>
      <c r="M21" s="81">
        <v>0.56100000000000005</v>
      </c>
      <c r="N21" s="82">
        <v>0.56720000000000004</v>
      </c>
      <c r="O21" s="83">
        <v>172.07</v>
      </c>
      <c r="P21" s="84">
        <v>2.0699999999999998</v>
      </c>
      <c r="Q21" s="83">
        <v>1.2</v>
      </c>
      <c r="R21" s="83">
        <v>6.0000000000000001E-3</v>
      </c>
      <c r="S21" s="83">
        <v>1.1100000000000001</v>
      </c>
    </row>
    <row r="22" spans="2:19">
      <c r="B22" s="81">
        <v>18</v>
      </c>
      <c r="C22" s="82">
        <v>1.84</v>
      </c>
      <c r="D22" s="82">
        <v>999.44</v>
      </c>
      <c r="E22" s="82">
        <v>179.92</v>
      </c>
      <c r="F22" s="82">
        <v>1000.56</v>
      </c>
      <c r="G22" s="83">
        <v>17.98</v>
      </c>
      <c r="H22" s="82">
        <v>3.28</v>
      </c>
      <c r="I22" s="88">
        <v>999.44</v>
      </c>
      <c r="J22" s="82">
        <v>180.01</v>
      </c>
      <c r="K22" s="82">
        <v>1000.56</v>
      </c>
      <c r="L22" s="82">
        <v>18.010000000000002</v>
      </c>
      <c r="M22" s="81">
        <v>0.59399999999999997</v>
      </c>
      <c r="N22" s="82">
        <v>0.60009999999999997</v>
      </c>
      <c r="O22" s="83">
        <v>182.03</v>
      </c>
      <c r="P22" s="84">
        <v>2.0299999999999998</v>
      </c>
      <c r="Q22" s="83">
        <v>1.1100000000000001</v>
      </c>
      <c r="R22" s="83">
        <v>6.0000000000000001E-3</v>
      </c>
      <c r="S22" s="83">
        <v>1.02</v>
      </c>
    </row>
    <row r="23" spans="2:19">
      <c r="B23" s="81">
        <v>19</v>
      </c>
      <c r="C23" s="82">
        <v>1.84</v>
      </c>
      <c r="D23" s="82">
        <v>999.6</v>
      </c>
      <c r="E23" s="82">
        <v>190.12</v>
      </c>
      <c r="F23" s="82">
        <v>1000.4</v>
      </c>
      <c r="G23" s="83">
        <v>19</v>
      </c>
      <c r="H23" s="82">
        <v>3.28</v>
      </c>
      <c r="I23" s="88">
        <v>999.36</v>
      </c>
      <c r="J23" s="82">
        <v>190.15</v>
      </c>
      <c r="K23" s="82">
        <v>1000.64</v>
      </c>
      <c r="L23" s="82">
        <v>19.03</v>
      </c>
      <c r="M23" s="81">
        <v>0.627</v>
      </c>
      <c r="N23" s="82">
        <v>0.63290000000000002</v>
      </c>
      <c r="O23" s="83">
        <v>192</v>
      </c>
      <c r="P23" s="84">
        <v>1.86</v>
      </c>
      <c r="Q23" s="83">
        <v>0.97</v>
      </c>
      <c r="R23" s="83">
        <v>6.0000000000000001E-3</v>
      </c>
      <c r="S23" s="83">
        <v>0.94</v>
      </c>
    </row>
    <row r="24" spans="2:19">
      <c r="B24" s="81">
        <v>20</v>
      </c>
      <c r="C24" s="82">
        <v>1.84</v>
      </c>
      <c r="D24" s="82">
        <v>999.52</v>
      </c>
      <c r="E24" s="82">
        <v>199.96</v>
      </c>
      <c r="F24" s="82">
        <v>1000.48</v>
      </c>
      <c r="G24" s="83">
        <v>19.989999999999998</v>
      </c>
      <c r="H24" s="82">
        <v>3.28</v>
      </c>
      <c r="I24" s="88">
        <v>999.36</v>
      </c>
      <c r="J24" s="82">
        <v>200.17</v>
      </c>
      <c r="K24" s="82">
        <v>1000.64</v>
      </c>
      <c r="L24" s="82">
        <v>20.03</v>
      </c>
      <c r="M24" s="81">
        <v>0.66</v>
      </c>
      <c r="N24" s="82">
        <v>0.66590000000000005</v>
      </c>
      <c r="O24" s="83">
        <v>201.99</v>
      </c>
      <c r="P24" s="84">
        <v>1.82</v>
      </c>
      <c r="Q24" s="83">
        <v>0.9</v>
      </c>
      <c r="R24" s="83">
        <v>6.0000000000000001E-3</v>
      </c>
      <c r="S24" s="83">
        <v>0.89</v>
      </c>
    </row>
    <row r="25" spans="2:19">
      <c r="B25" s="81">
        <v>21</v>
      </c>
      <c r="C25" s="82">
        <v>1.84</v>
      </c>
      <c r="D25" s="82">
        <v>999.33</v>
      </c>
      <c r="E25" s="82">
        <v>210.08</v>
      </c>
      <c r="F25" s="82">
        <v>1000.67</v>
      </c>
      <c r="G25" s="83">
        <v>20.99</v>
      </c>
      <c r="H25" s="82">
        <v>3.28</v>
      </c>
      <c r="I25" s="88">
        <v>999.56</v>
      </c>
      <c r="J25" s="82">
        <v>210.1</v>
      </c>
      <c r="K25" s="82">
        <v>1000.44</v>
      </c>
      <c r="L25" s="82">
        <v>21.02</v>
      </c>
      <c r="M25" s="81">
        <v>0.69299999999999995</v>
      </c>
      <c r="N25" s="82">
        <v>0.6986</v>
      </c>
      <c r="O25" s="83">
        <v>211.94</v>
      </c>
      <c r="P25" s="84">
        <v>1.84</v>
      </c>
      <c r="Q25" s="83">
        <v>0.87</v>
      </c>
      <c r="R25" s="83">
        <v>6.0000000000000001E-3</v>
      </c>
      <c r="S25" s="83">
        <v>0.81</v>
      </c>
    </row>
    <row r="26" spans="2:19">
      <c r="B26" s="81">
        <v>22</v>
      </c>
      <c r="C26" s="82">
        <v>1.84</v>
      </c>
      <c r="D26" s="82">
        <v>999.41</v>
      </c>
      <c r="E26" s="82">
        <v>220.08</v>
      </c>
      <c r="F26" s="82">
        <v>1000.59</v>
      </c>
      <c r="G26" s="83">
        <v>22</v>
      </c>
      <c r="H26" s="82">
        <v>3.27</v>
      </c>
      <c r="I26" s="88">
        <v>999.51</v>
      </c>
      <c r="J26" s="82">
        <v>220.05</v>
      </c>
      <c r="K26" s="82">
        <v>1000.49</v>
      </c>
      <c r="L26" s="82">
        <v>22.02</v>
      </c>
      <c r="M26" s="81">
        <v>0.72599999999999998</v>
      </c>
      <c r="N26" s="82">
        <v>0.73150000000000004</v>
      </c>
      <c r="O26" s="83">
        <v>221.9</v>
      </c>
      <c r="P26" s="84">
        <v>1.86</v>
      </c>
      <c r="Q26" s="83">
        <v>0.84</v>
      </c>
      <c r="R26" s="83">
        <v>5.0000000000000001E-3</v>
      </c>
      <c r="S26" s="83">
        <v>0.76</v>
      </c>
    </row>
    <row r="27" spans="2:19">
      <c r="B27" s="81">
        <v>23</v>
      </c>
      <c r="C27" s="82">
        <v>1.84</v>
      </c>
      <c r="D27" s="82">
        <v>999.25</v>
      </c>
      <c r="E27" s="82">
        <v>230.16</v>
      </c>
      <c r="F27" s="82">
        <v>1000.75</v>
      </c>
      <c r="G27" s="83">
        <v>23</v>
      </c>
      <c r="H27" s="82">
        <v>3.27</v>
      </c>
      <c r="I27" s="88">
        <v>999.37</v>
      </c>
      <c r="J27" s="82">
        <v>230.05</v>
      </c>
      <c r="K27" s="82">
        <v>1000.63</v>
      </c>
      <c r="L27" s="82">
        <v>23.02</v>
      </c>
      <c r="M27" s="81">
        <v>0.75900000000000001</v>
      </c>
      <c r="N27" s="82">
        <v>0.76429999999999998</v>
      </c>
      <c r="O27" s="83">
        <v>231.86</v>
      </c>
      <c r="P27" s="84">
        <v>1.81</v>
      </c>
      <c r="Q27" s="83">
        <v>0.78</v>
      </c>
      <c r="R27" s="83">
        <v>5.0000000000000001E-3</v>
      </c>
      <c r="S27" s="83">
        <v>0.7</v>
      </c>
    </row>
    <row r="28" spans="2:19">
      <c r="B28" s="81">
        <v>24</v>
      </c>
      <c r="C28" s="82">
        <v>1.84</v>
      </c>
      <c r="D28" s="82">
        <v>999.36</v>
      </c>
      <c r="E28" s="82">
        <v>240.08</v>
      </c>
      <c r="F28" s="82">
        <v>1000.64</v>
      </c>
      <c r="G28" s="83">
        <v>23.99</v>
      </c>
      <c r="H28" s="82">
        <v>3.28</v>
      </c>
      <c r="I28" s="88">
        <v>999.66</v>
      </c>
      <c r="J28" s="82">
        <v>240.03</v>
      </c>
      <c r="K28" s="82">
        <v>1000.34</v>
      </c>
      <c r="L28" s="82">
        <v>24.01</v>
      </c>
      <c r="M28" s="81">
        <v>0.79200000000000004</v>
      </c>
      <c r="N28" s="82">
        <v>0.79720000000000002</v>
      </c>
      <c r="O28" s="83">
        <v>241.83</v>
      </c>
      <c r="P28" s="84">
        <v>1.8</v>
      </c>
      <c r="Q28" s="83">
        <v>0.75</v>
      </c>
      <c r="R28" s="83">
        <v>5.0000000000000001E-3</v>
      </c>
      <c r="S28" s="83">
        <v>0.65</v>
      </c>
    </row>
    <row r="29" spans="2:19">
      <c r="B29" s="81">
        <v>25</v>
      </c>
      <c r="C29" s="82">
        <v>1.84</v>
      </c>
      <c r="D29" s="82">
        <v>999.32</v>
      </c>
      <c r="E29" s="82">
        <v>250.11</v>
      </c>
      <c r="F29" s="82">
        <v>1000.68</v>
      </c>
      <c r="G29" s="83">
        <v>24.99</v>
      </c>
      <c r="H29" s="82">
        <v>3.28</v>
      </c>
      <c r="I29" s="88">
        <v>999.41</v>
      </c>
      <c r="J29" s="82">
        <v>249.9</v>
      </c>
      <c r="K29" s="82">
        <v>1000.59</v>
      </c>
      <c r="L29" s="82">
        <v>25.01</v>
      </c>
      <c r="M29" s="81">
        <v>0.82499999999999996</v>
      </c>
      <c r="N29" s="82">
        <v>0.83</v>
      </c>
      <c r="O29" s="83">
        <v>251.8</v>
      </c>
      <c r="P29" s="84">
        <v>1.9</v>
      </c>
      <c r="Q29" s="83">
        <v>0.75</v>
      </c>
      <c r="R29" s="83">
        <v>5.0000000000000001E-3</v>
      </c>
      <c r="S29" s="83">
        <v>0.61</v>
      </c>
    </row>
    <row r="30" spans="2:19">
      <c r="B30" s="81">
        <v>26</v>
      </c>
      <c r="C30" s="82">
        <v>1.84</v>
      </c>
      <c r="D30" s="82">
        <v>999.37</v>
      </c>
      <c r="E30" s="82">
        <v>260.12</v>
      </c>
      <c r="F30" s="82">
        <v>1000.63</v>
      </c>
      <c r="G30" s="83">
        <v>26</v>
      </c>
      <c r="H30" s="82">
        <v>3.28</v>
      </c>
      <c r="I30" s="88">
        <v>999.39</v>
      </c>
      <c r="J30" s="82">
        <v>259.97000000000003</v>
      </c>
      <c r="K30" s="82">
        <v>1000.61</v>
      </c>
      <c r="L30" s="82">
        <v>26.01</v>
      </c>
      <c r="M30" s="81">
        <v>0.85799999999999998</v>
      </c>
      <c r="N30" s="82">
        <v>0.8629</v>
      </c>
      <c r="O30" s="83">
        <v>261.75</v>
      </c>
      <c r="P30" s="84">
        <v>1.78</v>
      </c>
      <c r="Q30" s="83">
        <v>0.68</v>
      </c>
      <c r="R30" s="83">
        <v>5.0000000000000001E-3</v>
      </c>
      <c r="S30" s="83">
        <v>0.56999999999999995</v>
      </c>
    </row>
    <row r="31" spans="2:19">
      <c r="B31" s="81">
        <v>27</v>
      </c>
      <c r="C31" s="82">
        <v>1.84</v>
      </c>
      <c r="D31" s="82">
        <v>999.36</v>
      </c>
      <c r="E31" s="82">
        <v>269.95999999999998</v>
      </c>
      <c r="F31" s="82">
        <v>1000.64</v>
      </c>
      <c r="G31" s="83">
        <v>26.98</v>
      </c>
      <c r="H31" s="82">
        <v>3.28</v>
      </c>
      <c r="I31" s="88">
        <v>999.48</v>
      </c>
      <c r="J31" s="82">
        <v>270.2</v>
      </c>
      <c r="K31" s="82">
        <v>1000.52</v>
      </c>
      <c r="L31" s="82">
        <v>27.03</v>
      </c>
      <c r="M31" s="81">
        <v>0.89100000000000001</v>
      </c>
      <c r="N31" s="82">
        <v>0.89570000000000005</v>
      </c>
      <c r="O31" s="83">
        <v>271.70999999999998</v>
      </c>
      <c r="P31" s="84">
        <v>1.51</v>
      </c>
      <c r="Q31" s="83">
        <v>0.56000000000000005</v>
      </c>
      <c r="R31" s="83">
        <v>5.0000000000000001E-3</v>
      </c>
      <c r="S31" s="83">
        <v>0.53</v>
      </c>
    </row>
    <row r="32" spans="2:19">
      <c r="B32" s="81">
        <v>28</v>
      </c>
      <c r="C32" s="82">
        <v>1.84</v>
      </c>
      <c r="D32" s="82">
        <v>999.47</v>
      </c>
      <c r="E32" s="82">
        <v>280.11</v>
      </c>
      <c r="F32" s="82">
        <v>1000.53</v>
      </c>
      <c r="G32" s="83">
        <v>28</v>
      </c>
      <c r="H32" s="82">
        <v>3.26</v>
      </c>
      <c r="I32" s="88">
        <v>999.54</v>
      </c>
      <c r="J32" s="82">
        <v>280.18</v>
      </c>
      <c r="K32" s="82">
        <v>1000.46</v>
      </c>
      <c r="L32" s="82">
        <v>28.03</v>
      </c>
      <c r="M32" s="81">
        <v>0.92400000000000004</v>
      </c>
      <c r="N32" s="82">
        <v>0.92849999999999999</v>
      </c>
      <c r="O32" s="83">
        <v>281.67</v>
      </c>
      <c r="P32" s="84">
        <v>1.49</v>
      </c>
      <c r="Q32" s="83">
        <v>0.53</v>
      </c>
      <c r="R32" s="83">
        <v>5.0000000000000001E-3</v>
      </c>
      <c r="S32" s="83">
        <v>0.49</v>
      </c>
    </row>
    <row r="33" spans="2:19">
      <c r="B33" s="81">
        <v>29</v>
      </c>
      <c r="C33" s="82">
        <v>1.84</v>
      </c>
      <c r="D33" s="82">
        <v>999.36</v>
      </c>
      <c r="E33" s="82">
        <v>290.08</v>
      </c>
      <c r="F33" s="82">
        <v>1000.64</v>
      </c>
      <c r="G33" s="83">
        <v>28.99</v>
      </c>
      <c r="H33" s="82">
        <v>3.26</v>
      </c>
      <c r="I33" s="88">
        <v>999.43</v>
      </c>
      <c r="J33" s="82">
        <v>289.95</v>
      </c>
      <c r="K33" s="82">
        <v>1000.57</v>
      </c>
      <c r="L33" s="82">
        <v>29.01</v>
      </c>
      <c r="M33" s="81">
        <v>0.95699999999999996</v>
      </c>
      <c r="N33" s="82">
        <v>0.96140000000000003</v>
      </c>
      <c r="O33" s="83">
        <v>291.63</v>
      </c>
      <c r="P33" s="84">
        <v>1.69</v>
      </c>
      <c r="Q33" s="83">
        <v>0.57999999999999996</v>
      </c>
      <c r="R33" s="83">
        <v>4.0000000000000001E-3</v>
      </c>
      <c r="S33" s="83">
        <v>0.45</v>
      </c>
    </row>
    <row r="34" spans="2:19">
      <c r="B34" s="81">
        <v>30</v>
      </c>
      <c r="C34" s="82">
        <v>1.84</v>
      </c>
      <c r="D34" s="82">
        <v>999.36</v>
      </c>
      <c r="E34" s="82">
        <v>300.27999999999997</v>
      </c>
      <c r="F34" s="82">
        <v>1000.64</v>
      </c>
      <c r="G34" s="83">
        <v>30.01</v>
      </c>
      <c r="H34" s="82">
        <v>3.26</v>
      </c>
      <c r="I34" s="88">
        <v>999.35</v>
      </c>
      <c r="J34" s="82">
        <v>300.14999999999998</v>
      </c>
      <c r="K34" s="82">
        <v>1000.65</v>
      </c>
      <c r="L34" s="82">
        <v>30.04</v>
      </c>
      <c r="M34" s="81">
        <v>0.99</v>
      </c>
      <c r="N34" s="82">
        <v>0.99419999999999997</v>
      </c>
      <c r="O34" s="83">
        <v>301.58999999999997</v>
      </c>
      <c r="P34" s="84">
        <v>1.43</v>
      </c>
      <c r="Q34" s="83">
        <v>0.47</v>
      </c>
      <c r="R34" s="83">
        <v>4.0000000000000001E-3</v>
      </c>
      <c r="S34" s="83">
        <v>0.42</v>
      </c>
    </row>
    <row r="35" spans="2:19">
      <c r="B35" s="81">
        <v>31</v>
      </c>
      <c r="C35" s="82">
        <v>1.84</v>
      </c>
      <c r="D35" s="82">
        <v>999.44</v>
      </c>
      <c r="E35" s="82">
        <v>310.2</v>
      </c>
      <c r="F35" s="82">
        <v>1000.56</v>
      </c>
      <c r="G35" s="83">
        <v>31</v>
      </c>
      <c r="H35" s="82">
        <v>3.27</v>
      </c>
      <c r="I35" s="88">
        <v>999.4</v>
      </c>
      <c r="J35" s="82">
        <v>310.18</v>
      </c>
      <c r="K35" s="82">
        <v>1000.6</v>
      </c>
      <c r="L35" s="82">
        <v>31.04</v>
      </c>
      <c r="M35" s="81">
        <v>1.0229999999999999</v>
      </c>
      <c r="N35" s="82">
        <v>1.0269999999999999</v>
      </c>
      <c r="O35" s="83">
        <v>311.56</v>
      </c>
      <c r="P35" s="84">
        <v>1.37</v>
      </c>
      <c r="Q35" s="83">
        <v>0.44</v>
      </c>
      <c r="R35" s="83">
        <v>4.0000000000000001E-3</v>
      </c>
      <c r="S35" s="83">
        <v>0.39</v>
      </c>
    </row>
    <row r="36" spans="2:19">
      <c r="B36" s="81">
        <v>32</v>
      </c>
      <c r="C36" s="82">
        <v>1.84</v>
      </c>
      <c r="D36" s="82">
        <v>999.52</v>
      </c>
      <c r="E36" s="82">
        <v>320.2</v>
      </c>
      <c r="F36" s="82">
        <v>1000.48</v>
      </c>
      <c r="G36" s="83">
        <v>32</v>
      </c>
      <c r="H36" s="82">
        <v>3.26</v>
      </c>
      <c r="I36" s="88">
        <v>999.4</v>
      </c>
      <c r="J36" s="82">
        <v>320.08</v>
      </c>
      <c r="K36" s="82">
        <v>1000.6</v>
      </c>
      <c r="L36" s="82">
        <v>32.03</v>
      </c>
      <c r="M36" s="81">
        <v>1.056</v>
      </c>
      <c r="N36" s="82">
        <v>1.0599000000000001</v>
      </c>
      <c r="O36" s="83">
        <v>321.51</v>
      </c>
      <c r="P36" s="84">
        <v>1.43</v>
      </c>
      <c r="Q36" s="83">
        <v>0.45</v>
      </c>
      <c r="R36" s="83">
        <v>4.0000000000000001E-3</v>
      </c>
      <c r="S36" s="83">
        <v>0.37</v>
      </c>
    </row>
    <row r="37" spans="2:19">
      <c r="B37" s="81">
        <v>33</v>
      </c>
      <c r="C37" s="82">
        <v>1.84</v>
      </c>
      <c r="D37" s="82">
        <v>999.44</v>
      </c>
      <c r="E37" s="82">
        <v>330.24</v>
      </c>
      <c r="F37" s="82">
        <v>1000.56</v>
      </c>
      <c r="G37" s="83">
        <v>33.01</v>
      </c>
      <c r="H37" s="82">
        <v>3.26</v>
      </c>
      <c r="I37" s="88">
        <v>999.48</v>
      </c>
      <c r="J37" s="82">
        <v>330.22</v>
      </c>
      <c r="K37" s="82">
        <v>1000.52</v>
      </c>
      <c r="L37" s="82">
        <v>33.04</v>
      </c>
      <c r="M37" s="81">
        <v>1.089</v>
      </c>
      <c r="N37" s="82">
        <v>1.0926</v>
      </c>
      <c r="O37" s="83">
        <v>331.47</v>
      </c>
      <c r="P37" s="84">
        <v>1.25</v>
      </c>
      <c r="Q37" s="83">
        <v>0.38</v>
      </c>
      <c r="R37" s="83">
        <v>4.0000000000000001E-3</v>
      </c>
      <c r="S37" s="83">
        <v>0.33</v>
      </c>
    </row>
    <row r="38" spans="2:19">
      <c r="B38" s="81">
        <v>34</v>
      </c>
      <c r="C38" s="82">
        <v>1.84</v>
      </c>
      <c r="D38" s="82">
        <v>999.35</v>
      </c>
      <c r="E38" s="82">
        <v>340.32</v>
      </c>
      <c r="F38" s="82">
        <v>1000.65</v>
      </c>
      <c r="G38" s="83">
        <v>34.01</v>
      </c>
      <c r="H38" s="82">
        <v>3.26</v>
      </c>
      <c r="I38" s="88">
        <v>999.37</v>
      </c>
      <c r="J38" s="82">
        <v>340.16</v>
      </c>
      <c r="K38" s="82">
        <v>1000.63</v>
      </c>
      <c r="L38" s="82">
        <v>34.04</v>
      </c>
      <c r="M38" s="81">
        <v>1.1220000000000001</v>
      </c>
      <c r="N38" s="82">
        <v>1.1254999999999999</v>
      </c>
      <c r="O38" s="83">
        <v>341.42</v>
      </c>
      <c r="P38" s="84">
        <v>1.25</v>
      </c>
      <c r="Q38" s="83">
        <v>0.37</v>
      </c>
      <c r="R38" s="83">
        <v>4.0000000000000001E-3</v>
      </c>
      <c r="S38" s="83">
        <v>0.31</v>
      </c>
    </row>
    <row r="39" spans="2:19">
      <c r="B39" s="81">
        <v>35</v>
      </c>
      <c r="C39" s="82">
        <v>1.84</v>
      </c>
      <c r="D39" s="82">
        <v>999.4</v>
      </c>
      <c r="E39" s="82">
        <v>350.21</v>
      </c>
      <c r="F39" s="82">
        <v>1000.6</v>
      </c>
      <c r="G39" s="83">
        <v>35</v>
      </c>
      <c r="H39" s="82">
        <v>3.25</v>
      </c>
      <c r="I39" s="88">
        <v>999.37</v>
      </c>
      <c r="J39" s="82">
        <v>350.07</v>
      </c>
      <c r="K39" s="82">
        <v>1000.63</v>
      </c>
      <c r="L39" s="82">
        <v>35.03</v>
      </c>
      <c r="M39" s="81">
        <v>1.155</v>
      </c>
      <c r="N39" s="82">
        <v>1.1583000000000001</v>
      </c>
      <c r="O39" s="83">
        <v>351.37</v>
      </c>
      <c r="P39" s="84">
        <v>1.31</v>
      </c>
      <c r="Q39" s="83">
        <v>0.37</v>
      </c>
      <c r="R39" s="83">
        <v>3.0000000000000001E-3</v>
      </c>
      <c r="S39" s="83">
        <v>0.28999999999999998</v>
      </c>
    </row>
    <row r="40" spans="2:19">
      <c r="B40" s="81">
        <v>36</v>
      </c>
      <c r="C40" s="82">
        <v>1.84</v>
      </c>
      <c r="D40" s="82">
        <v>999.44</v>
      </c>
      <c r="E40" s="82">
        <v>360.04</v>
      </c>
      <c r="F40" s="82">
        <v>1000.56</v>
      </c>
      <c r="G40" s="83">
        <v>35.979999999999997</v>
      </c>
      <c r="H40" s="82">
        <v>3.24</v>
      </c>
      <c r="I40" s="88">
        <v>999.56</v>
      </c>
      <c r="J40" s="82">
        <v>360.18</v>
      </c>
      <c r="K40" s="82">
        <v>1000.44</v>
      </c>
      <c r="L40" s="82">
        <v>36.03</v>
      </c>
      <c r="M40" s="81">
        <v>1.1879999999999999</v>
      </c>
      <c r="N40" s="82">
        <v>1.1911</v>
      </c>
      <c r="O40" s="83">
        <v>361.34</v>
      </c>
      <c r="P40" s="84">
        <v>1.1499999999999999</v>
      </c>
      <c r="Q40" s="83">
        <v>0.32</v>
      </c>
      <c r="R40" s="83">
        <v>3.0000000000000001E-3</v>
      </c>
      <c r="S40" s="83">
        <v>0.26</v>
      </c>
    </row>
    <row r="41" spans="2:19">
      <c r="B41" s="81">
        <v>37</v>
      </c>
      <c r="C41" s="82">
        <v>1.84</v>
      </c>
      <c r="D41" s="82">
        <v>999.43</v>
      </c>
      <c r="E41" s="82">
        <v>370.2</v>
      </c>
      <c r="F41" s="82">
        <v>1000.57</v>
      </c>
      <c r="G41" s="83">
        <v>37</v>
      </c>
      <c r="H41" s="82">
        <v>3.25</v>
      </c>
      <c r="I41" s="88">
        <v>999.48</v>
      </c>
      <c r="J41" s="82">
        <v>370.11</v>
      </c>
      <c r="K41" s="82">
        <v>1000.52</v>
      </c>
      <c r="L41" s="82">
        <v>37.03</v>
      </c>
      <c r="M41" s="81">
        <v>1.2210000000000001</v>
      </c>
      <c r="N41" s="82">
        <v>1.2239</v>
      </c>
      <c r="O41" s="83">
        <v>371.29</v>
      </c>
      <c r="P41" s="84">
        <v>1.17</v>
      </c>
      <c r="Q41" s="83">
        <v>0.32</v>
      </c>
      <c r="R41" s="83">
        <v>3.0000000000000001E-3</v>
      </c>
      <c r="S41" s="83">
        <v>0.24</v>
      </c>
    </row>
    <row r="42" spans="2:19">
      <c r="B42" s="81">
        <v>38</v>
      </c>
      <c r="C42" s="82">
        <v>1.84</v>
      </c>
      <c r="D42" s="82">
        <v>999.45</v>
      </c>
      <c r="E42" s="82">
        <v>380.13</v>
      </c>
      <c r="F42" s="82">
        <v>1000.55</v>
      </c>
      <c r="G42" s="83">
        <v>37.99</v>
      </c>
      <c r="H42" s="82">
        <v>3.24</v>
      </c>
      <c r="I42" s="88">
        <v>999.51</v>
      </c>
      <c r="J42" s="82">
        <v>380.02</v>
      </c>
      <c r="K42" s="82">
        <v>1000.49</v>
      </c>
      <c r="L42" s="82">
        <v>38.020000000000003</v>
      </c>
      <c r="M42" s="81">
        <v>1.254</v>
      </c>
      <c r="N42" s="82">
        <v>1.2567999999999999</v>
      </c>
      <c r="O42" s="83">
        <v>381.24</v>
      </c>
      <c r="P42" s="84">
        <v>1.22</v>
      </c>
      <c r="Q42" s="83">
        <v>0.32</v>
      </c>
      <c r="R42" s="83">
        <v>3.0000000000000001E-3</v>
      </c>
      <c r="S42" s="83">
        <v>0.22</v>
      </c>
    </row>
    <row r="43" spans="2:19">
      <c r="B43" s="81">
        <v>39</v>
      </c>
      <c r="C43" s="82">
        <v>1.84</v>
      </c>
      <c r="D43" s="82">
        <v>999.27</v>
      </c>
      <c r="E43" s="82">
        <v>390.34</v>
      </c>
      <c r="F43" s="82">
        <v>1000.73</v>
      </c>
      <c r="G43" s="83">
        <v>39.01</v>
      </c>
      <c r="H43" s="82">
        <v>3.25</v>
      </c>
      <c r="I43" s="88">
        <v>999.31</v>
      </c>
      <c r="J43" s="82">
        <v>390.2</v>
      </c>
      <c r="K43" s="82">
        <v>1000.7</v>
      </c>
      <c r="L43" s="82">
        <v>39.049999999999997</v>
      </c>
      <c r="M43" s="81">
        <v>1.2869999999999999</v>
      </c>
      <c r="N43" s="82">
        <v>1.2896000000000001</v>
      </c>
      <c r="O43" s="83">
        <v>391.19</v>
      </c>
      <c r="P43" s="84">
        <v>0.99</v>
      </c>
      <c r="Q43" s="83">
        <v>0.25</v>
      </c>
      <c r="R43" s="83">
        <v>3.0000000000000001E-3</v>
      </c>
      <c r="S43" s="83">
        <v>0.2</v>
      </c>
    </row>
    <row r="44" spans="2:19">
      <c r="B44" s="81">
        <v>40</v>
      </c>
      <c r="C44" s="82">
        <v>1.84</v>
      </c>
      <c r="D44" s="82">
        <v>999.44</v>
      </c>
      <c r="E44" s="82">
        <v>400.27</v>
      </c>
      <c r="F44" s="82">
        <v>1000.56</v>
      </c>
      <c r="G44" s="83">
        <v>40</v>
      </c>
      <c r="H44" s="82">
        <v>3.24</v>
      </c>
      <c r="I44" s="88">
        <v>999.32</v>
      </c>
      <c r="J44" s="82">
        <v>400.32</v>
      </c>
      <c r="K44" s="82">
        <v>1000.68</v>
      </c>
      <c r="L44" s="82">
        <v>40.06</v>
      </c>
      <c r="M44" s="81">
        <v>1.32</v>
      </c>
      <c r="N44" s="82">
        <v>1.3225</v>
      </c>
      <c r="O44" s="83">
        <v>401.18</v>
      </c>
      <c r="P44" s="84">
        <v>0.86</v>
      </c>
      <c r="Q44" s="83">
        <v>0.21</v>
      </c>
      <c r="R44" s="83">
        <v>2E-3</v>
      </c>
      <c r="S44" s="83">
        <v>0.19</v>
      </c>
    </row>
    <row r="45" spans="2:19">
      <c r="B45" s="81">
        <v>41</v>
      </c>
      <c r="C45" s="82">
        <v>1.84</v>
      </c>
      <c r="D45" s="82">
        <v>999.4</v>
      </c>
      <c r="E45" s="82">
        <v>410.2</v>
      </c>
      <c r="F45" s="82">
        <v>1000.6</v>
      </c>
      <c r="G45" s="83">
        <v>41</v>
      </c>
      <c r="H45" s="82">
        <v>3.24</v>
      </c>
      <c r="I45" s="88">
        <v>999.36</v>
      </c>
      <c r="J45" s="82">
        <v>410.19</v>
      </c>
      <c r="K45" s="82">
        <v>1000.64</v>
      </c>
      <c r="L45" s="82">
        <v>41.05</v>
      </c>
      <c r="M45" s="81">
        <v>1.353</v>
      </c>
      <c r="N45" s="82">
        <v>1.3552</v>
      </c>
      <c r="O45" s="83">
        <v>411.11</v>
      </c>
      <c r="P45" s="84">
        <v>0.91</v>
      </c>
      <c r="Q45" s="83">
        <v>0.22</v>
      </c>
      <c r="R45" s="83">
        <v>2E-3</v>
      </c>
      <c r="S45" s="83">
        <v>0.16</v>
      </c>
    </row>
    <row r="46" spans="2:19">
      <c r="B46" s="81">
        <v>42</v>
      </c>
      <c r="C46" s="82">
        <v>1.84</v>
      </c>
      <c r="D46" s="82">
        <v>999.56</v>
      </c>
      <c r="E46" s="82">
        <v>420.24</v>
      </c>
      <c r="F46" s="82">
        <v>1000.44</v>
      </c>
      <c r="G46" s="83">
        <v>42.01</v>
      </c>
      <c r="H46" s="82">
        <v>3.24</v>
      </c>
      <c r="I46" s="88">
        <v>999.25</v>
      </c>
      <c r="J46" s="82">
        <v>420.09</v>
      </c>
      <c r="K46" s="82">
        <v>1000.75</v>
      </c>
      <c r="L46" s="82">
        <v>42.04</v>
      </c>
      <c r="M46" s="81">
        <v>1.3859999999999999</v>
      </c>
      <c r="N46" s="82">
        <v>1.3879999999999999</v>
      </c>
      <c r="O46" s="83">
        <v>421.05</v>
      </c>
      <c r="P46" s="84">
        <v>0.96</v>
      </c>
      <c r="Q46" s="83">
        <v>0.23</v>
      </c>
      <c r="R46" s="83">
        <v>2E-3</v>
      </c>
      <c r="S46" s="83">
        <v>0.14000000000000001</v>
      </c>
    </row>
    <row r="47" spans="2:19">
      <c r="B47" s="81">
        <v>43</v>
      </c>
      <c r="C47" s="82">
        <v>1.84</v>
      </c>
      <c r="D47" s="82">
        <v>999.53</v>
      </c>
      <c r="E47" s="82">
        <v>430.12</v>
      </c>
      <c r="F47" s="82">
        <v>1000.47</v>
      </c>
      <c r="G47" s="83">
        <v>42.99</v>
      </c>
      <c r="H47" s="82">
        <v>3.24</v>
      </c>
      <c r="I47" s="88">
        <v>999.37</v>
      </c>
      <c r="J47" s="82">
        <v>430.25</v>
      </c>
      <c r="K47" s="82">
        <v>1000.63</v>
      </c>
      <c r="L47" s="82">
        <v>43.05</v>
      </c>
      <c r="M47" s="81">
        <v>1.419</v>
      </c>
      <c r="N47" s="82">
        <v>1.4208000000000001</v>
      </c>
      <c r="O47" s="83">
        <v>431.01</v>
      </c>
      <c r="P47" s="84">
        <v>0.76</v>
      </c>
      <c r="Q47" s="83">
        <v>0.18</v>
      </c>
      <c r="R47" s="83">
        <v>2E-3</v>
      </c>
      <c r="S47" s="83">
        <v>0.13</v>
      </c>
    </row>
    <row r="48" spans="2:19">
      <c r="B48" s="81">
        <v>44</v>
      </c>
      <c r="C48" s="82">
        <v>1.84</v>
      </c>
      <c r="D48" s="82">
        <v>999.55</v>
      </c>
      <c r="E48" s="82">
        <v>440.25</v>
      </c>
      <c r="F48" s="82">
        <v>1000.45</v>
      </c>
      <c r="G48" s="83">
        <v>44.01</v>
      </c>
      <c r="H48" s="82">
        <v>3.24</v>
      </c>
      <c r="I48" s="88">
        <v>999.34</v>
      </c>
      <c r="J48" s="82">
        <v>440.08</v>
      </c>
      <c r="K48" s="82">
        <v>1000.66</v>
      </c>
      <c r="L48" s="82">
        <v>44.04</v>
      </c>
      <c r="M48" s="81">
        <v>1.452</v>
      </c>
      <c r="N48" s="82">
        <v>1.4536</v>
      </c>
      <c r="O48" s="83">
        <v>440.96</v>
      </c>
      <c r="P48" s="84">
        <v>0.88</v>
      </c>
      <c r="Q48" s="83">
        <v>0.2</v>
      </c>
      <c r="R48" s="83">
        <v>2E-3</v>
      </c>
      <c r="S48" s="83">
        <v>0.11</v>
      </c>
    </row>
    <row r="49" spans="2:19">
      <c r="B49" s="81">
        <v>45</v>
      </c>
      <c r="C49" s="82">
        <v>1.84</v>
      </c>
      <c r="D49" s="82">
        <v>999.41</v>
      </c>
      <c r="E49" s="82">
        <v>450.24</v>
      </c>
      <c r="F49" s="82">
        <v>1000.59</v>
      </c>
      <c r="G49" s="83">
        <v>45</v>
      </c>
      <c r="H49" s="82">
        <v>3.24</v>
      </c>
      <c r="I49" s="88">
        <v>999.29</v>
      </c>
      <c r="J49" s="82">
        <v>450.22</v>
      </c>
      <c r="K49" s="82">
        <v>1000.71</v>
      </c>
      <c r="L49" s="82">
        <v>45.05</v>
      </c>
      <c r="M49" s="81">
        <v>1.4850000000000001</v>
      </c>
      <c r="N49" s="82">
        <v>1.4863999999999999</v>
      </c>
      <c r="O49" s="83">
        <v>450.91</v>
      </c>
      <c r="P49" s="84">
        <v>0.7</v>
      </c>
      <c r="Q49" s="83">
        <v>0.15</v>
      </c>
      <c r="R49" s="83">
        <v>1E-3</v>
      </c>
      <c r="S49" s="83">
        <v>0.09</v>
      </c>
    </row>
    <row r="50" spans="2:19">
      <c r="B50" s="81">
        <v>46</v>
      </c>
      <c r="C50" s="82">
        <v>1.84</v>
      </c>
      <c r="D50" s="82">
        <v>999.4</v>
      </c>
      <c r="E50" s="82">
        <v>460.24</v>
      </c>
      <c r="F50" s="82">
        <v>1000.6</v>
      </c>
      <c r="G50" s="83">
        <v>46</v>
      </c>
      <c r="H50" s="82">
        <v>3.26</v>
      </c>
      <c r="I50" s="88">
        <v>999.54</v>
      </c>
      <c r="J50" s="82">
        <v>460.2</v>
      </c>
      <c r="K50" s="82">
        <v>1000.46</v>
      </c>
      <c r="L50" s="82">
        <v>46.04</v>
      </c>
      <c r="M50" s="81">
        <v>1.518</v>
      </c>
      <c r="N50" s="82">
        <v>1.5192000000000001</v>
      </c>
      <c r="O50" s="83">
        <v>460.87</v>
      </c>
      <c r="P50" s="84">
        <v>0.67</v>
      </c>
      <c r="Q50" s="83">
        <v>0.15</v>
      </c>
      <c r="R50" s="83">
        <v>1E-3</v>
      </c>
      <c r="S50" s="83">
        <v>0.08</v>
      </c>
    </row>
    <row r="51" spans="2:19">
      <c r="B51" s="81">
        <v>47</v>
      </c>
      <c r="C51" s="82">
        <v>1.84</v>
      </c>
      <c r="D51" s="82">
        <v>999.48</v>
      </c>
      <c r="E51" s="82">
        <v>470.07</v>
      </c>
      <c r="F51" s="82">
        <v>1000.52</v>
      </c>
      <c r="G51" s="83">
        <v>46.98</v>
      </c>
      <c r="H51" s="82">
        <v>3.24</v>
      </c>
      <c r="I51" s="88">
        <v>999.53</v>
      </c>
      <c r="J51" s="82">
        <v>470.4</v>
      </c>
      <c r="K51" s="82">
        <v>1000.48</v>
      </c>
      <c r="L51" s="82">
        <v>47.06</v>
      </c>
      <c r="M51" s="81">
        <v>1.5509999999999999</v>
      </c>
      <c r="N51" s="82">
        <v>1.552</v>
      </c>
      <c r="O51" s="83">
        <v>470.81</v>
      </c>
      <c r="P51" s="84">
        <v>0.41</v>
      </c>
      <c r="Q51" s="83">
        <v>0.09</v>
      </c>
      <c r="R51" s="83">
        <v>1E-3</v>
      </c>
      <c r="S51" s="83">
        <v>7.0000000000000007E-2</v>
      </c>
    </row>
    <row r="52" spans="2:19">
      <c r="B52" s="81">
        <v>48</v>
      </c>
      <c r="C52" s="82">
        <v>1.84</v>
      </c>
      <c r="D52" s="82">
        <v>999.36</v>
      </c>
      <c r="E52" s="82">
        <v>480.24</v>
      </c>
      <c r="F52" s="82">
        <v>1000.64</v>
      </c>
      <c r="G52" s="83">
        <v>47.99</v>
      </c>
      <c r="H52" s="82">
        <v>3.24</v>
      </c>
      <c r="I52" s="88">
        <v>999.39</v>
      </c>
      <c r="J52" s="82">
        <v>480.12</v>
      </c>
      <c r="K52" s="82">
        <v>1000.61</v>
      </c>
      <c r="L52" s="82">
        <v>48.04</v>
      </c>
      <c r="M52" s="81">
        <v>1.5840000000000001</v>
      </c>
      <c r="N52" s="82">
        <v>1.5848</v>
      </c>
      <c r="O52" s="83">
        <v>480.75</v>
      </c>
      <c r="P52" s="84">
        <v>0.63</v>
      </c>
      <c r="Q52" s="83">
        <v>0.13</v>
      </c>
      <c r="R52" s="83">
        <v>1E-3</v>
      </c>
      <c r="S52" s="83">
        <v>0.05</v>
      </c>
    </row>
    <row r="53" spans="2:19">
      <c r="B53" s="81">
        <v>49</v>
      </c>
      <c r="C53" s="82">
        <v>1.84</v>
      </c>
      <c r="D53" s="82">
        <v>999.36</v>
      </c>
      <c r="E53" s="82">
        <v>490.32</v>
      </c>
      <c r="F53" s="82">
        <v>1000.64</v>
      </c>
      <c r="G53" s="83">
        <v>49</v>
      </c>
      <c r="H53" s="82">
        <v>3.24</v>
      </c>
      <c r="I53" s="88">
        <v>999.27</v>
      </c>
      <c r="J53" s="82">
        <v>490.29</v>
      </c>
      <c r="K53" s="82">
        <v>1000.73</v>
      </c>
      <c r="L53" s="82">
        <v>49.06</v>
      </c>
      <c r="M53" s="81">
        <v>1.617</v>
      </c>
      <c r="N53" s="82">
        <v>1.6175999999999999</v>
      </c>
      <c r="O53" s="83">
        <v>490.71</v>
      </c>
      <c r="P53" s="84">
        <v>0.42</v>
      </c>
      <c r="Q53" s="83">
        <v>0.09</v>
      </c>
      <c r="R53" s="83">
        <v>1E-3</v>
      </c>
      <c r="S53" s="83">
        <v>0.04</v>
      </c>
    </row>
    <row r="54" spans="2:19">
      <c r="B54" s="81">
        <v>50</v>
      </c>
      <c r="C54" s="82">
        <v>1.84</v>
      </c>
      <c r="D54" s="82">
        <v>999.27</v>
      </c>
      <c r="E54" s="82">
        <v>500.29</v>
      </c>
      <c r="F54" s="82">
        <v>1000.73</v>
      </c>
      <c r="G54" s="83">
        <v>49.99</v>
      </c>
      <c r="H54" s="82">
        <v>3.24</v>
      </c>
      <c r="I54" s="88">
        <v>999.37</v>
      </c>
      <c r="J54" s="82">
        <v>500.22</v>
      </c>
      <c r="K54" s="82">
        <v>1000.63</v>
      </c>
      <c r="L54" s="82">
        <v>50.05</v>
      </c>
      <c r="M54" s="81">
        <v>1.65</v>
      </c>
      <c r="N54" s="82">
        <v>1.6504000000000001</v>
      </c>
      <c r="O54" s="83">
        <v>500.65</v>
      </c>
      <c r="P54" s="84">
        <v>0.43</v>
      </c>
      <c r="Q54" s="83">
        <v>0.09</v>
      </c>
      <c r="R54" s="83">
        <v>0</v>
      </c>
      <c r="S54" s="83">
        <v>0.02</v>
      </c>
    </row>
    <row r="55" spans="2:19">
      <c r="B55" s="81">
        <v>51</v>
      </c>
      <c r="C55" s="82">
        <v>1.84</v>
      </c>
      <c r="D55" s="82">
        <v>999.41</v>
      </c>
      <c r="E55" s="82">
        <v>510.43</v>
      </c>
      <c r="F55" s="82">
        <v>1000.59</v>
      </c>
      <c r="G55" s="83">
        <v>51.01</v>
      </c>
      <c r="H55" s="82">
        <v>3.24</v>
      </c>
      <c r="I55" s="88">
        <v>999.41</v>
      </c>
      <c r="J55" s="82">
        <v>510.25</v>
      </c>
      <c r="K55" s="82">
        <v>1000.59</v>
      </c>
      <c r="L55" s="82">
        <v>51.06</v>
      </c>
      <c r="M55" s="81">
        <v>1.6830000000000001</v>
      </c>
      <c r="N55" s="82">
        <v>1.6832</v>
      </c>
      <c r="O55" s="83">
        <v>510.59</v>
      </c>
      <c r="P55" s="84">
        <v>0.34</v>
      </c>
      <c r="Q55" s="83">
        <v>7.0000000000000007E-2</v>
      </c>
      <c r="R55" s="83">
        <v>0</v>
      </c>
      <c r="S55" s="83">
        <v>0.01</v>
      </c>
    </row>
    <row r="56" spans="2:19">
      <c r="B56" s="81">
        <v>52</v>
      </c>
      <c r="C56" s="82">
        <v>1.84</v>
      </c>
      <c r="D56" s="82">
        <v>999.36</v>
      </c>
      <c r="E56" s="82">
        <v>520.20000000000005</v>
      </c>
      <c r="F56" s="82">
        <v>1000.64</v>
      </c>
      <c r="G56" s="83">
        <v>51.99</v>
      </c>
      <c r="H56" s="82">
        <v>3.24</v>
      </c>
      <c r="I56" s="88">
        <v>999.13</v>
      </c>
      <c r="J56" s="82">
        <v>520.44000000000005</v>
      </c>
      <c r="K56" s="82">
        <v>1000.87</v>
      </c>
      <c r="L56" s="82">
        <v>52.09</v>
      </c>
      <c r="M56" s="81">
        <v>1.716</v>
      </c>
      <c r="N56" s="82">
        <v>1.716</v>
      </c>
      <c r="O56" s="83">
        <v>520.53</v>
      </c>
      <c r="P56" s="84">
        <v>0.1</v>
      </c>
      <c r="Q56" s="83">
        <v>0.02</v>
      </c>
      <c r="R56" s="83">
        <v>0</v>
      </c>
      <c r="S56" s="83">
        <v>0</v>
      </c>
    </row>
    <row r="57" spans="2:19">
      <c r="B57" s="81">
        <v>53</v>
      </c>
      <c r="C57" s="82">
        <v>1.84</v>
      </c>
      <c r="D57" s="82">
        <v>999.4</v>
      </c>
      <c r="E57" s="82">
        <v>530.36</v>
      </c>
      <c r="F57" s="82">
        <v>1000.6</v>
      </c>
      <c r="G57" s="83">
        <v>53</v>
      </c>
      <c r="H57" s="82">
        <v>3.24</v>
      </c>
      <c r="I57" s="88">
        <v>999.32</v>
      </c>
      <c r="J57" s="82">
        <v>530</v>
      </c>
      <c r="K57" s="82">
        <v>1000.68</v>
      </c>
      <c r="L57" s="82">
        <v>53.04</v>
      </c>
      <c r="M57" s="81">
        <v>1.7490000000000001</v>
      </c>
      <c r="N57" s="82">
        <v>1.7486999999999999</v>
      </c>
      <c r="O57" s="83">
        <v>530.48</v>
      </c>
      <c r="P57" s="84">
        <v>0.48</v>
      </c>
      <c r="Q57" s="83">
        <v>0.09</v>
      </c>
      <c r="R57" s="83">
        <v>0</v>
      </c>
      <c r="S57" s="83">
        <v>0.01</v>
      </c>
    </row>
    <row r="58" spans="2:19">
      <c r="B58" s="81">
        <v>54</v>
      </c>
      <c r="C58" s="82">
        <v>1.84</v>
      </c>
      <c r="D58" s="82">
        <v>999.56</v>
      </c>
      <c r="E58" s="82">
        <v>540.24</v>
      </c>
      <c r="F58" s="82">
        <v>1000.44</v>
      </c>
      <c r="G58" s="83">
        <v>54</v>
      </c>
      <c r="H58" s="82">
        <v>3.24</v>
      </c>
      <c r="I58" s="88">
        <v>999.3</v>
      </c>
      <c r="J58" s="82">
        <v>540.4</v>
      </c>
      <c r="K58" s="82">
        <v>1000.7</v>
      </c>
      <c r="L58" s="82">
        <v>54.08</v>
      </c>
      <c r="M58" s="81">
        <v>1.782</v>
      </c>
      <c r="N58" s="82">
        <v>1.7815000000000001</v>
      </c>
      <c r="O58" s="83">
        <v>540.41999999999996</v>
      </c>
      <c r="P58" s="84">
        <v>0.01</v>
      </c>
      <c r="Q58" s="83">
        <v>0</v>
      </c>
      <c r="R58" s="83">
        <v>0</v>
      </c>
      <c r="S58" s="83">
        <v>0.03</v>
      </c>
    </row>
    <row r="59" spans="2:19">
      <c r="B59" s="81">
        <v>55</v>
      </c>
      <c r="C59" s="82">
        <v>1.84</v>
      </c>
      <c r="D59" s="82">
        <v>999.48</v>
      </c>
      <c r="E59" s="82">
        <v>550.44000000000005</v>
      </c>
      <c r="F59" s="82">
        <v>1000.52</v>
      </c>
      <c r="G59" s="83">
        <v>55.02</v>
      </c>
      <c r="H59" s="82">
        <v>3.24</v>
      </c>
      <c r="I59" s="88">
        <v>999.44</v>
      </c>
      <c r="J59" s="82">
        <v>550.17999999999995</v>
      </c>
      <c r="K59" s="82">
        <v>1000.56</v>
      </c>
      <c r="L59" s="82">
        <v>55.05</v>
      </c>
      <c r="M59" s="81">
        <v>1.8149999999999999</v>
      </c>
      <c r="N59" s="82">
        <v>1.8143</v>
      </c>
      <c r="O59" s="83">
        <v>550.36</v>
      </c>
      <c r="P59" s="84">
        <v>0.18</v>
      </c>
      <c r="Q59" s="83">
        <v>0.03</v>
      </c>
      <c r="R59" s="83">
        <v>1E-3</v>
      </c>
      <c r="S59" s="83">
        <v>0.04</v>
      </c>
    </row>
    <row r="60" spans="2:19">
      <c r="B60" s="81">
        <v>56</v>
      </c>
      <c r="C60" s="82">
        <v>1.84</v>
      </c>
      <c r="D60" s="82">
        <v>999.32</v>
      </c>
      <c r="E60" s="82">
        <v>560.30999999999995</v>
      </c>
      <c r="F60" s="82">
        <v>1000.68</v>
      </c>
      <c r="G60" s="83">
        <v>55.99</v>
      </c>
      <c r="H60" s="82">
        <v>3.24</v>
      </c>
      <c r="I60" s="88">
        <v>999.49</v>
      </c>
      <c r="J60" s="82">
        <v>560.16999999999996</v>
      </c>
      <c r="K60" s="82">
        <v>1000.51</v>
      </c>
      <c r="L60" s="82">
        <v>56.05</v>
      </c>
      <c r="M60" s="81">
        <v>1.8480000000000001</v>
      </c>
      <c r="N60" s="82">
        <v>1.847</v>
      </c>
      <c r="O60" s="83">
        <v>560.29999999999995</v>
      </c>
      <c r="P60" s="84">
        <v>0.13</v>
      </c>
      <c r="Q60" s="83">
        <v>0.02</v>
      </c>
      <c r="R60" s="83">
        <v>1E-3</v>
      </c>
      <c r="S60" s="83">
        <v>0.05</v>
      </c>
    </row>
    <row r="61" spans="2:19">
      <c r="B61" s="81">
        <v>57</v>
      </c>
      <c r="C61" s="82">
        <v>1.84</v>
      </c>
      <c r="D61" s="82">
        <v>999.32</v>
      </c>
      <c r="E61" s="82">
        <v>570.28</v>
      </c>
      <c r="F61" s="82">
        <v>1000.68</v>
      </c>
      <c r="G61" s="83">
        <v>56.99</v>
      </c>
      <c r="H61" s="82">
        <v>3.24</v>
      </c>
      <c r="I61" s="88">
        <v>999.41</v>
      </c>
      <c r="J61" s="82">
        <v>570.26</v>
      </c>
      <c r="K61" s="82">
        <v>1000.59</v>
      </c>
      <c r="L61" s="82">
        <v>57.06</v>
      </c>
      <c r="M61" s="81">
        <v>1.881</v>
      </c>
      <c r="N61" s="82">
        <v>1.8797999999999999</v>
      </c>
      <c r="O61" s="83">
        <v>570.24</v>
      </c>
      <c r="P61" s="84">
        <v>0.02</v>
      </c>
      <c r="Q61" s="83">
        <v>0</v>
      </c>
      <c r="R61" s="83">
        <v>1E-3</v>
      </c>
      <c r="S61" s="83">
        <v>0.06</v>
      </c>
    </row>
    <row r="62" spans="2:19">
      <c r="B62" s="81">
        <v>58</v>
      </c>
      <c r="C62" s="82">
        <v>1.84</v>
      </c>
      <c r="D62" s="82">
        <v>999.4</v>
      </c>
      <c r="E62" s="82">
        <v>580.32000000000005</v>
      </c>
      <c r="F62" s="82">
        <v>1000.6</v>
      </c>
      <c r="G62" s="83">
        <v>58</v>
      </c>
      <c r="H62" s="82">
        <v>3.24</v>
      </c>
      <c r="I62" s="88">
        <v>999.26</v>
      </c>
      <c r="J62" s="82">
        <v>580.32000000000005</v>
      </c>
      <c r="K62" s="82">
        <v>1000.75</v>
      </c>
      <c r="L62" s="82">
        <v>58.08</v>
      </c>
      <c r="M62" s="81">
        <v>1.9139999999999999</v>
      </c>
      <c r="N62" s="82">
        <v>1.9127000000000001</v>
      </c>
      <c r="O62" s="83">
        <v>580.16</v>
      </c>
      <c r="P62" s="84">
        <v>0.16</v>
      </c>
      <c r="Q62" s="83">
        <v>0.03</v>
      </c>
      <c r="R62" s="83">
        <v>1E-3</v>
      </c>
      <c r="S62" s="83">
        <v>7.0000000000000007E-2</v>
      </c>
    </row>
    <row r="63" spans="2:19">
      <c r="B63" s="81">
        <v>59</v>
      </c>
      <c r="C63" s="82">
        <v>1.84</v>
      </c>
      <c r="D63" s="82">
        <v>999.28</v>
      </c>
      <c r="E63" s="82">
        <v>590.28</v>
      </c>
      <c r="F63" s="82">
        <v>1000.72</v>
      </c>
      <c r="G63" s="83">
        <v>58.99</v>
      </c>
      <c r="H63" s="82">
        <v>3.24</v>
      </c>
      <c r="I63" s="88">
        <v>999.25</v>
      </c>
      <c r="J63" s="82">
        <v>590.30999999999995</v>
      </c>
      <c r="K63" s="82">
        <v>1000.75</v>
      </c>
      <c r="L63" s="82">
        <v>59.08</v>
      </c>
      <c r="M63" s="81">
        <v>1.9470000000000001</v>
      </c>
      <c r="N63" s="82">
        <v>1.9453</v>
      </c>
      <c r="O63" s="83">
        <v>590.09</v>
      </c>
      <c r="P63" s="84">
        <v>0.22</v>
      </c>
      <c r="Q63" s="83">
        <v>0.04</v>
      </c>
      <c r="R63" s="83">
        <v>2E-3</v>
      </c>
      <c r="S63" s="83">
        <v>0.09</v>
      </c>
    </row>
    <row r="64" spans="2:19">
      <c r="B64" s="81">
        <v>60</v>
      </c>
      <c r="C64" s="82">
        <v>1.84</v>
      </c>
      <c r="D64" s="82">
        <v>999.6</v>
      </c>
      <c r="E64" s="82">
        <v>600.20000000000005</v>
      </c>
      <c r="F64" s="82">
        <v>1000.4</v>
      </c>
      <c r="G64" s="83">
        <v>60</v>
      </c>
      <c r="H64" s="82">
        <v>3.24</v>
      </c>
      <c r="I64" s="88">
        <v>999.38</v>
      </c>
      <c r="J64" s="82">
        <v>600.39</v>
      </c>
      <c r="K64" s="82">
        <v>1000.62</v>
      </c>
      <c r="L64" s="82">
        <v>60.08</v>
      </c>
      <c r="M64" s="81">
        <v>1.98</v>
      </c>
      <c r="N64" s="82">
        <v>1.9781</v>
      </c>
      <c r="O64" s="83">
        <v>600.05999999999995</v>
      </c>
      <c r="P64" s="84">
        <v>0.33</v>
      </c>
      <c r="Q64" s="83">
        <v>0.05</v>
      </c>
      <c r="R64" s="83">
        <v>2E-3</v>
      </c>
      <c r="S64" s="83">
        <v>0.1</v>
      </c>
    </row>
    <row r="65" spans="2:19">
      <c r="B65" s="81">
        <v>61</v>
      </c>
      <c r="C65" s="82">
        <v>1.84</v>
      </c>
      <c r="D65" s="82">
        <v>999.36</v>
      </c>
      <c r="E65" s="82">
        <v>610.32000000000005</v>
      </c>
      <c r="F65" s="82">
        <v>1000.64</v>
      </c>
      <c r="G65" s="83">
        <v>60.99</v>
      </c>
      <c r="H65" s="82">
        <v>3.24</v>
      </c>
      <c r="I65" s="88">
        <v>999.39</v>
      </c>
      <c r="J65" s="82">
        <v>610.29</v>
      </c>
      <c r="K65" s="82">
        <v>1000.61</v>
      </c>
      <c r="L65" s="82">
        <v>61.07</v>
      </c>
      <c r="M65" s="81">
        <v>2.0129999999999999</v>
      </c>
      <c r="N65" s="82">
        <v>2.0106999999999999</v>
      </c>
      <c r="O65" s="83">
        <v>609.95000000000005</v>
      </c>
      <c r="P65" s="84">
        <v>0.34</v>
      </c>
      <c r="Q65" s="83">
        <v>0.06</v>
      </c>
      <c r="R65" s="83">
        <v>2E-3</v>
      </c>
      <c r="S65" s="83">
        <v>0.11</v>
      </c>
    </row>
    <row r="66" spans="2:19">
      <c r="B66" s="81">
        <v>62</v>
      </c>
      <c r="C66" s="82">
        <v>1.84</v>
      </c>
      <c r="D66" s="82">
        <v>999.44</v>
      </c>
      <c r="E66" s="82">
        <v>620.28</v>
      </c>
      <c r="F66" s="82">
        <v>1000.56</v>
      </c>
      <c r="G66" s="83">
        <v>61.99</v>
      </c>
      <c r="H66" s="82">
        <v>3.24</v>
      </c>
      <c r="I66" s="88">
        <v>999.48</v>
      </c>
      <c r="J66" s="82">
        <v>620.44000000000005</v>
      </c>
      <c r="K66" s="82">
        <v>1000.52</v>
      </c>
      <c r="L66" s="82">
        <v>62.08</v>
      </c>
      <c r="M66" s="81">
        <v>2.0459999999999998</v>
      </c>
      <c r="N66" s="82">
        <v>2.0434999999999999</v>
      </c>
      <c r="O66" s="83">
        <v>619.87</v>
      </c>
      <c r="P66" s="84">
        <v>0.56999999999999995</v>
      </c>
      <c r="Q66" s="83">
        <v>0.09</v>
      </c>
      <c r="R66" s="83">
        <v>3.0000000000000001E-3</v>
      </c>
      <c r="S66" s="83">
        <v>0.12</v>
      </c>
    </row>
    <row r="67" spans="2:19">
      <c r="B67" s="81">
        <v>63</v>
      </c>
      <c r="C67" s="82">
        <v>1.84</v>
      </c>
      <c r="D67" s="82">
        <v>999.48</v>
      </c>
      <c r="E67" s="82">
        <v>630.47</v>
      </c>
      <c r="F67" s="82">
        <v>1000.52</v>
      </c>
      <c r="G67" s="83">
        <v>63.01</v>
      </c>
      <c r="H67" s="82">
        <v>3.24</v>
      </c>
      <c r="I67" s="88">
        <v>999.22</v>
      </c>
      <c r="J67" s="82">
        <v>630.34</v>
      </c>
      <c r="K67" s="82">
        <v>1000.78</v>
      </c>
      <c r="L67" s="82">
        <v>63.08</v>
      </c>
      <c r="M67" s="81">
        <v>2.0790000000000002</v>
      </c>
      <c r="N67" s="82">
        <v>2.0762</v>
      </c>
      <c r="O67" s="83">
        <v>629.79999999999995</v>
      </c>
      <c r="P67" s="84">
        <v>0.54</v>
      </c>
      <c r="Q67" s="83">
        <v>0.09</v>
      </c>
      <c r="R67" s="83">
        <v>3.0000000000000001E-3</v>
      </c>
      <c r="S67" s="83">
        <v>0.14000000000000001</v>
      </c>
    </row>
    <row r="68" spans="2:19">
      <c r="B68" s="81">
        <v>64</v>
      </c>
      <c r="C68" s="82">
        <v>1.84</v>
      </c>
      <c r="D68" s="82">
        <v>999.44</v>
      </c>
      <c r="E68" s="82">
        <v>640.32000000000005</v>
      </c>
      <c r="F68" s="82">
        <v>1000.56</v>
      </c>
      <c r="G68" s="83">
        <v>64</v>
      </c>
      <c r="H68" s="82">
        <v>3.24</v>
      </c>
      <c r="I68" s="88">
        <v>999.43</v>
      </c>
      <c r="J68" s="82">
        <v>640.24</v>
      </c>
      <c r="K68" s="82">
        <v>1000.58</v>
      </c>
      <c r="L68" s="82">
        <v>64.06</v>
      </c>
      <c r="M68" s="81">
        <v>2.1120000000000001</v>
      </c>
      <c r="N68" s="82">
        <v>2.1088</v>
      </c>
      <c r="O68" s="83">
        <v>639.74</v>
      </c>
      <c r="P68" s="84">
        <v>0.5</v>
      </c>
      <c r="Q68" s="83">
        <v>0.08</v>
      </c>
      <c r="R68" s="83">
        <v>3.0000000000000001E-3</v>
      </c>
      <c r="S68" s="83">
        <v>0.15</v>
      </c>
    </row>
    <row r="69" spans="2:19">
      <c r="B69" s="81">
        <v>65</v>
      </c>
      <c r="C69" s="82">
        <v>1.84</v>
      </c>
      <c r="D69" s="82">
        <v>999.32</v>
      </c>
      <c r="E69" s="82">
        <v>650.36</v>
      </c>
      <c r="F69" s="82">
        <v>1000.68</v>
      </c>
      <c r="G69" s="83">
        <v>64.989999999999995</v>
      </c>
      <c r="H69" s="82">
        <v>3.24</v>
      </c>
      <c r="I69" s="88">
        <v>999.56</v>
      </c>
      <c r="J69" s="82">
        <v>650.19000000000005</v>
      </c>
      <c r="K69" s="82">
        <v>1000.44</v>
      </c>
      <c r="L69" s="82">
        <v>65.05</v>
      </c>
      <c r="M69" s="81">
        <v>2.145</v>
      </c>
      <c r="N69" s="82">
        <v>2.1415999999999999</v>
      </c>
      <c r="O69" s="83">
        <v>649.65</v>
      </c>
      <c r="P69" s="84">
        <v>0.54</v>
      </c>
      <c r="Q69" s="83">
        <v>0.08</v>
      </c>
      <c r="R69" s="83">
        <v>3.0000000000000001E-3</v>
      </c>
      <c r="S69" s="83">
        <v>0.16</v>
      </c>
    </row>
    <row r="70" spans="2:19">
      <c r="B70" s="81">
        <v>66</v>
      </c>
      <c r="C70" s="82">
        <v>1.84</v>
      </c>
      <c r="D70" s="82">
        <v>999.32</v>
      </c>
      <c r="E70" s="82">
        <v>660.24</v>
      </c>
      <c r="F70" s="82">
        <v>1000.68</v>
      </c>
      <c r="G70" s="83">
        <v>65.98</v>
      </c>
      <c r="H70" s="82">
        <v>3.24</v>
      </c>
      <c r="I70" s="88">
        <v>999.42</v>
      </c>
      <c r="J70" s="82">
        <v>660.38</v>
      </c>
      <c r="K70" s="82">
        <v>1000.58</v>
      </c>
      <c r="L70" s="82">
        <v>66.08</v>
      </c>
      <c r="M70" s="81">
        <v>2.1779999999999999</v>
      </c>
      <c r="N70" s="82">
        <v>2.1743000000000001</v>
      </c>
      <c r="O70" s="83">
        <v>659.57</v>
      </c>
      <c r="P70" s="84">
        <v>0.81</v>
      </c>
      <c r="Q70" s="83">
        <v>0.12</v>
      </c>
      <c r="R70" s="83">
        <v>4.0000000000000001E-3</v>
      </c>
      <c r="S70" s="83">
        <v>0.17</v>
      </c>
    </row>
    <row r="71" spans="2:19">
      <c r="B71" s="81">
        <v>67</v>
      </c>
      <c r="C71" s="82">
        <v>1.84</v>
      </c>
      <c r="D71" s="82">
        <v>999.44</v>
      </c>
      <c r="E71" s="82">
        <v>670.45</v>
      </c>
      <c r="F71" s="82">
        <v>1000.56</v>
      </c>
      <c r="G71" s="83">
        <v>67.010000000000005</v>
      </c>
      <c r="H71" s="82">
        <v>3.24</v>
      </c>
      <c r="I71" s="88">
        <v>999.31</v>
      </c>
      <c r="J71" s="82">
        <v>670.53</v>
      </c>
      <c r="K71" s="82">
        <v>1000.69</v>
      </c>
      <c r="L71" s="82">
        <v>67.099999999999994</v>
      </c>
      <c r="M71" s="81">
        <v>2.2109999999999999</v>
      </c>
      <c r="N71" s="82">
        <v>2.2069999999999999</v>
      </c>
      <c r="O71" s="83">
        <v>669.48</v>
      </c>
      <c r="P71" s="84">
        <v>1.06</v>
      </c>
      <c r="Q71" s="83">
        <v>0.16</v>
      </c>
      <c r="R71" s="83">
        <v>4.0000000000000001E-3</v>
      </c>
      <c r="S71" s="83">
        <v>0.18</v>
      </c>
    </row>
    <row r="72" spans="2:19">
      <c r="B72" s="81">
        <v>68</v>
      </c>
      <c r="C72" s="82">
        <v>1.84</v>
      </c>
      <c r="D72" s="82">
        <v>999.28</v>
      </c>
      <c r="E72" s="82">
        <v>680.52</v>
      </c>
      <c r="F72" s="82">
        <v>1000.72</v>
      </c>
      <c r="G72" s="83">
        <v>68</v>
      </c>
      <c r="H72" s="82">
        <v>3.24</v>
      </c>
      <c r="I72" s="88">
        <v>999.51</v>
      </c>
      <c r="J72" s="82">
        <v>680.09</v>
      </c>
      <c r="K72" s="82">
        <v>1000.49</v>
      </c>
      <c r="L72" s="82">
        <v>68.040000000000006</v>
      </c>
      <c r="M72" s="81">
        <v>2.2440000000000002</v>
      </c>
      <c r="N72" s="82">
        <v>2.2397</v>
      </c>
      <c r="O72" s="83">
        <v>679.41</v>
      </c>
      <c r="P72" s="84">
        <v>0.68</v>
      </c>
      <c r="Q72" s="83">
        <v>0.1</v>
      </c>
      <c r="R72" s="83">
        <v>4.0000000000000001E-3</v>
      </c>
      <c r="S72" s="83">
        <v>0.19</v>
      </c>
    </row>
    <row r="73" spans="2:19">
      <c r="B73" s="81">
        <v>69</v>
      </c>
      <c r="C73" s="82">
        <v>1.84</v>
      </c>
      <c r="D73" s="82">
        <v>999.4</v>
      </c>
      <c r="E73" s="82">
        <v>690.44</v>
      </c>
      <c r="F73" s="82">
        <v>1000.6</v>
      </c>
      <c r="G73" s="83">
        <v>69</v>
      </c>
      <c r="H73" s="82">
        <v>3.24</v>
      </c>
      <c r="I73" s="88">
        <v>999.41</v>
      </c>
      <c r="J73" s="82">
        <v>690.17</v>
      </c>
      <c r="K73" s="82">
        <v>1000.59</v>
      </c>
      <c r="L73" s="82">
        <v>69.06</v>
      </c>
      <c r="M73" s="81">
        <v>2.2770000000000001</v>
      </c>
      <c r="N73" s="82">
        <v>2.2724000000000002</v>
      </c>
      <c r="O73" s="83">
        <v>689.32</v>
      </c>
      <c r="P73" s="84">
        <v>0.84</v>
      </c>
      <c r="Q73" s="83">
        <v>0.12</v>
      </c>
      <c r="R73" s="83">
        <v>5.0000000000000001E-3</v>
      </c>
      <c r="S73" s="83">
        <v>0.2</v>
      </c>
    </row>
    <row r="74" spans="2:19">
      <c r="B74" s="81">
        <v>70</v>
      </c>
      <c r="C74" s="82">
        <v>1.84</v>
      </c>
      <c r="D74" s="82">
        <v>999.45</v>
      </c>
      <c r="E74" s="82">
        <v>700.2</v>
      </c>
      <c r="F74" s="82">
        <v>1000.55</v>
      </c>
      <c r="G74" s="83">
        <v>69.98</v>
      </c>
      <c r="H74" s="82">
        <v>3.24</v>
      </c>
      <c r="I74" s="88">
        <v>999.4</v>
      </c>
      <c r="J74" s="82">
        <v>700.4</v>
      </c>
      <c r="K74" s="82">
        <v>1000.6</v>
      </c>
      <c r="L74" s="82">
        <v>70.08</v>
      </c>
      <c r="M74" s="81">
        <v>2.31</v>
      </c>
      <c r="N74" s="82">
        <v>2.3050999999999999</v>
      </c>
      <c r="O74" s="83">
        <v>699.24</v>
      </c>
      <c r="P74" s="84">
        <v>1.1599999999999999</v>
      </c>
      <c r="Q74" s="83">
        <v>0.17</v>
      </c>
      <c r="R74" s="83">
        <v>5.0000000000000001E-3</v>
      </c>
      <c r="S74" s="83">
        <v>0.21</v>
      </c>
    </row>
    <row r="75" spans="2:19">
      <c r="B75" s="81">
        <v>71</v>
      </c>
      <c r="C75" s="82">
        <v>1.84</v>
      </c>
      <c r="D75" s="82">
        <v>999.51</v>
      </c>
      <c r="E75" s="82">
        <v>710.52</v>
      </c>
      <c r="F75" s="82">
        <v>1000.49</v>
      </c>
      <c r="G75" s="83">
        <v>71.02</v>
      </c>
      <c r="H75" s="82">
        <v>3.24</v>
      </c>
      <c r="I75" s="88">
        <v>999.7</v>
      </c>
      <c r="J75" s="82">
        <v>710.41</v>
      </c>
      <c r="K75" s="82">
        <v>1000.3</v>
      </c>
      <c r="L75" s="82">
        <v>71.06</v>
      </c>
      <c r="M75" s="81">
        <v>2.343</v>
      </c>
      <c r="N75" s="82">
        <v>2.3378000000000001</v>
      </c>
      <c r="O75" s="83">
        <v>709.16</v>
      </c>
      <c r="P75" s="84">
        <v>1.25</v>
      </c>
      <c r="Q75" s="83">
        <v>0.18</v>
      </c>
      <c r="R75" s="83">
        <v>5.0000000000000001E-3</v>
      </c>
      <c r="S75" s="83">
        <v>0.22</v>
      </c>
    </row>
    <row r="76" spans="2:19">
      <c r="B76" s="81">
        <v>72</v>
      </c>
      <c r="C76" s="82">
        <v>1.84</v>
      </c>
      <c r="D76" s="82">
        <v>999.48</v>
      </c>
      <c r="E76" s="82">
        <v>720.41</v>
      </c>
      <c r="F76" s="82">
        <v>1000.52</v>
      </c>
      <c r="G76" s="83">
        <v>72</v>
      </c>
      <c r="H76" s="82">
        <v>3.24</v>
      </c>
      <c r="I76" s="88">
        <v>999.47</v>
      </c>
      <c r="J76" s="82">
        <v>720.29</v>
      </c>
      <c r="K76" s="82">
        <v>1000.53</v>
      </c>
      <c r="L76" s="82">
        <v>72.069999999999993</v>
      </c>
      <c r="M76" s="81">
        <v>2.3759999999999999</v>
      </c>
      <c r="N76" s="82">
        <v>2.3704000000000001</v>
      </c>
      <c r="O76" s="83">
        <v>719.07</v>
      </c>
      <c r="P76" s="84">
        <v>1.23</v>
      </c>
      <c r="Q76" s="83">
        <v>0.17</v>
      </c>
      <c r="R76" s="83">
        <v>6.0000000000000001E-3</v>
      </c>
      <c r="S76" s="83">
        <v>0.23</v>
      </c>
    </row>
    <row r="77" spans="2:19">
      <c r="B77" s="81">
        <v>73</v>
      </c>
      <c r="C77" s="82">
        <v>1.84</v>
      </c>
      <c r="D77" s="82">
        <v>999.32</v>
      </c>
      <c r="E77" s="82">
        <v>730.52</v>
      </c>
      <c r="F77" s="82">
        <v>1000.68</v>
      </c>
      <c r="G77" s="83">
        <v>73</v>
      </c>
      <c r="H77" s="82">
        <v>3.24</v>
      </c>
      <c r="I77" s="88">
        <v>999.36</v>
      </c>
      <c r="J77" s="82">
        <v>730.23</v>
      </c>
      <c r="K77" s="82">
        <v>1000.64</v>
      </c>
      <c r="L77" s="82">
        <v>73.069999999999993</v>
      </c>
      <c r="M77" s="81">
        <v>2.4089999999999998</v>
      </c>
      <c r="N77" s="82">
        <v>2.4030999999999998</v>
      </c>
      <c r="O77" s="83">
        <v>728.99</v>
      </c>
      <c r="P77" s="84">
        <v>1.24</v>
      </c>
      <c r="Q77" s="83">
        <v>0.17</v>
      </c>
      <c r="R77" s="83">
        <v>6.0000000000000001E-3</v>
      </c>
      <c r="S77" s="83">
        <v>0.24</v>
      </c>
    </row>
    <row r="78" spans="2:19">
      <c r="B78" s="81">
        <v>74</v>
      </c>
      <c r="C78" s="82">
        <v>1.84</v>
      </c>
      <c r="D78" s="82">
        <v>999.36</v>
      </c>
      <c r="E78" s="82">
        <v>740.45</v>
      </c>
      <c r="F78" s="82">
        <v>1000.64</v>
      </c>
      <c r="G78" s="83">
        <v>74</v>
      </c>
      <c r="H78" s="82">
        <v>3.24</v>
      </c>
      <c r="I78" s="88">
        <v>999.46</v>
      </c>
      <c r="J78" s="82">
        <v>740.33</v>
      </c>
      <c r="K78" s="82">
        <v>1000.54</v>
      </c>
      <c r="L78" s="82">
        <v>74.069999999999993</v>
      </c>
      <c r="M78" s="81">
        <v>2.4420000000000002</v>
      </c>
      <c r="N78" s="82">
        <v>2.4358</v>
      </c>
      <c r="O78" s="83">
        <v>738.92</v>
      </c>
      <c r="P78" s="84">
        <v>1.42</v>
      </c>
      <c r="Q78" s="83">
        <v>0.19</v>
      </c>
      <c r="R78" s="83">
        <v>6.0000000000000001E-3</v>
      </c>
      <c r="S78" s="83">
        <v>0.25</v>
      </c>
    </row>
    <row r="79" spans="2:19">
      <c r="B79" s="81">
        <v>75</v>
      </c>
      <c r="C79" s="82">
        <v>1.84</v>
      </c>
      <c r="D79" s="82">
        <v>999.36</v>
      </c>
      <c r="E79" s="82">
        <v>750.4</v>
      </c>
      <c r="F79" s="82">
        <v>1000.64</v>
      </c>
      <c r="G79" s="83">
        <v>74.989999999999995</v>
      </c>
      <c r="H79" s="82">
        <v>3.24</v>
      </c>
      <c r="I79" s="88">
        <v>999.4</v>
      </c>
      <c r="J79" s="82">
        <v>750.38</v>
      </c>
      <c r="K79" s="82">
        <v>1000.6</v>
      </c>
      <c r="L79" s="82">
        <v>75.08</v>
      </c>
      <c r="M79" s="81">
        <v>2.4750000000000001</v>
      </c>
      <c r="N79" s="82">
        <v>2.4685000000000001</v>
      </c>
      <c r="O79" s="83">
        <v>748.82</v>
      </c>
      <c r="P79" s="84">
        <v>1.56</v>
      </c>
      <c r="Q79" s="83">
        <v>0.21</v>
      </c>
      <c r="R79" s="83">
        <v>6.0000000000000001E-3</v>
      </c>
      <c r="S79" s="83">
        <v>0.26</v>
      </c>
    </row>
    <row r="80" spans="2:19">
      <c r="B80" s="81">
        <v>76</v>
      </c>
      <c r="C80" s="82">
        <v>1.84</v>
      </c>
      <c r="D80" s="82">
        <v>999.56</v>
      </c>
      <c r="E80" s="82">
        <v>760.27</v>
      </c>
      <c r="F80" s="82">
        <v>1000.44</v>
      </c>
      <c r="G80" s="83">
        <v>75.989999999999995</v>
      </c>
      <c r="H80" s="82">
        <v>3.24</v>
      </c>
      <c r="I80" s="88">
        <v>999.33</v>
      </c>
      <c r="J80" s="82">
        <v>760.42</v>
      </c>
      <c r="K80" s="82">
        <v>1000.67</v>
      </c>
      <c r="L80" s="82">
        <v>76.09</v>
      </c>
      <c r="M80" s="81">
        <v>2.508</v>
      </c>
      <c r="N80" s="82">
        <v>2.5011999999999999</v>
      </c>
      <c r="O80" s="83">
        <v>758.75</v>
      </c>
      <c r="P80" s="84">
        <v>1.68</v>
      </c>
      <c r="Q80" s="83">
        <v>0.22</v>
      </c>
      <c r="R80" s="83">
        <v>7.0000000000000001E-3</v>
      </c>
      <c r="S80" s="83">
        <v>0.27</v>
      </c>
    </row>
    <row r="81" spans="2:19">
      <c r="B81" s="81">
        <v>77</v>
      </c>
      <c r="C81" s="82">
        <v>1.84</v>
      </c>
      <c r="D81" s="82">
        <v>999.4</v>
      </c>
      <c r="E81" s="82">
        <v>770.68</v>
      </c>
      <c r="F81" s="82">
        <v>1000.6</v>
      </c>
      <c r="G81" s="83">
        <v>77.02</v>
      </c>
      <c r="H81" s="82">
        <v>3.24</v>
      </c>
      <c r="I81" s="88">
        <v>999.4</v>
      </c>
      <c r="J81" s="82">
        <v>770.33</v>
      </c>
      <c r="K81" s="82">
        <v>1000.6</v>
      </c>
      <c r="L81" s="82">
        <v>77.08</v>
      </c>
      <c r="M81" s="81">
        <v>2.5409999999999999</v>
      </c>
      <c r="N81" s="82">
        <v>2.5339</v>
      </c>
      <c r="O81" s="83">
        <v>768.66</v>
      </c>
      <c r="P81" s="84">
        <v>1.68</v>
      </c>
      <c r="Q81" s="83">
        <v>0.22</v>
      </c>
      <c r="R81" s="83">
        <v>7.0000000000000001E-3</v>
      </c>
      <c r="S81" s="83">
        <v>0.28000000000000003</v>
      </c>
    </row>
    <row r="82" spans="2:19">
      <c r="B82" s="81">
        <v>78</v>
      </c>
      <c r="C82" s="82">
        <v>1.84</v>
      </c>
      <c r="D82" s="82">
        <v>999.55</v>
      </c>
      <c r="E82" s="82">
        <v>780.44</v>
      </c>
      <c r="F82" s="82">
        <v>1000.45</v>
      </c>
      <c r="G82" s="83">
        <v>78.010000000000005</v>
      </c>
      <c r="H82" s="82">
        <v>3.24</v>
      </c>
      <c r="I82" s="88">
        <v>999.49</v>
      </c>
      <c r="J82" s="82">
        <v>780.23</v>
      </c>
      <c r="K82" s="82">
        <v>1000.51</v>
      </c>
      <c r="L82" s="82">
        <v>78.06</v>
      </c>
      <c r="M82" s="81">
        <v>2.5739999999999998</v>
      </c>
      <c r="N82" s="82">
        <v>2.5666000000000002</v>
      </c>
      <c r="O82" s="83">
        <v>778.57</v>
      </c>
      <c r="P82" s="84">
        <v>1.65</v>
      </c>
      <c r="Q82" s="83">
        <v>0.21</v>
      </c>
      <c r="R82" s="83">
        <v>7.0000000000000001E-3</v>
      </c>
      <c r="S82" s="83">
        <v>0.28999999999999998</v>
      </c>
    </row>
    <row r="83" spans="2:19">
      <c r="B83" s="81">
        <v>79</v>
      </c>
      <c r="C83" s="82">
        <v>1.84</v>
      </c>
      <c r="D83" s="82">
        <v>999.35</v>
      </c>
      <c r="E83" s="82">
        <v>790.57</v>
      </c>
      <c r="F83" s="82">
        <v>1000.65</v>
      </c>
      <c r="G83" s="83">
        <v>79.010000000000005</v>
      </c>
      <c r="H83" s="82">
        <v>3.24</v>
      </c>
      <c r="I83" s="88">
        <v>999.52</v>
      </c>
      <c r="J83" s="82">
        <v>790.6</v>
      </c>
      <c r="K83" s="82">
        <v>1000.48</v>
      </c>
      <c r="L83" s="82">
        <v>79.099999999999994</v>
      </c>
      <c r="M83" s="81">
        <v>2.6070000000000002</v>
      </c>
      <c r="N83" s="82">
        <v>2.5992999999999999</v>
      </c>
      <c r="O83" s="83">
        <v>788.48</v>
      </c>
      <c r="P83" s="84">
        <v>2.12</v>
      </c>
      <c r="Q83" s="83">
        <v>0.27</v>
      </c>
      <c r="R83" s="83">
        <v>8.0000000000000002E-3</v>
      </c>
      <c r="S83" s="83">
        <v>0.3</v>
      </c>
    </row>
    <row r="84" spans="2:19">
      <c r="B84" s="81">
        <v>80</v>
      </c>
      <c r="C84" s="82">
        <v>1.84</v>
      </c>
      <c r="D84" s="82">
        <v>999.43</v>
      </c>
      <c r="E84" s="82">
        <v>800.36</v>
      </c>
      <c r="F84" s="82">
        <v>1000.57</v>
      </c>
      <c r="G84" s="83">
        <v>79.989999999999995</v>
      </c>
      <c r="H84" s="82">
        <v>3.24</v>
      </c>
      <c r="I84" s="88">
        <v>999.53</v>
      </c>
      <c r="J84" s="82">
        <v>800.36</v>
      </c>
      <c r="K84" s="82">
        <v>1000.47</v>
      </c>
      <c r="L84" s="82">
        <v>80.069999999999993</v>
      </c>
      <c r="M84" s="81">
        <v>2.64</v>
      </c>
      <c r="N84" s="82">
        <v>2.6320000000000001</v>
      </c>
      <c r="O84" s="83">
        <v>798.43</v>
      </c>
      <c r="P84" s="84">
        <v>1.94</v>
      </c>
      <c r="Q84" s="83">
        <v>0.24</v>
      </c>
      <c r="R84" s="83">
        <v>8.0000000000000002E-3</v>
      </c>
      <c r="S84" s="83">
        <v>0.3</v>
      </c>
    </row>
    <row r="85" spans="2:19">
      <c r="B85" s="81">
        <v>81</v>
      </c>
      <c r="C85" s="82">
        <v>1.84</v>
      </c>
      <c r="D85" s="82">
        <v>999.32</v>
      </c>
      <c r="E85" s="82">
        <v>810.45</v>
      </c>
      <c r="F85" s="82">
        <v>1000.68</v>
      </c>
      <c r="G85" s="83">
        <v>80.989999999999995</v>
      </c>
      <c r="H85" s="82">
        <v>3.24</v>
      </c>
      <c r="I85" s="88">
        <v>999.63</v>
      </c>
      <c r="J85" s="82">
        <v>810.61</v>
      </c>
      <c r="K85" s="82">
        <v>1000.37</v>
      </c>
      <c r="L85" s="82">
        <v>81.09</v>
      </c>
      <c r="M85" s="81">
        <v>2.673</v>
      </c>
      <c r="N85" s="82">
        <v>2.6646000000000001</v>
      </c>
      <c r="O85" s="83">
        <v>808.32</v>
      </c>
      <c r="P85" s="84">
        <v>2.29</v>
      </c>
      <c r="Q85" s="83">
        <v>0.28000000000000003</v>
      </c>
      <c r="R85" s="83">
        <v>8.0000000000000002E-3</v>
      </c>
      <c r="S85" s="83">
        <v>0.31</v>
      </c>
    </row>
    <row r="86" spans="2:19">
      <c r="B86" s="81">
        <v>82</v>
      </c>
      <c r="C86" s="82">
        <v>1.84</v>
      </c>
      <c r="D86" s="82">
        <v>999.4</v>
      </c>
      <c r="E86" s="82">
        <v>820.4</v>
      </c>
      <c r="F86" s="82">
        <v>1000.6</v>
      </c>
      <c r="G86" s="83">
        <v>81.99</v>
      </c>
      <c r="H86" s="82">
        <v>3.24</v>
      </c>
      <c r="I86" s="88">
        <v>999.39</v>
      </c>
      <c r="J86" s="82">
        <v>820.5</v>
      </c>
      <c r="K86" s="82">
        <v>1000.61</v>
      </c>
      <c r="L86" s="82">
        <v>82.1</v>
      </c>
      <c r="M86" s="81">
        <v>2.706</v>
      </c>
      <c r="N86" s="82">
        <v>2.6972999999999998</v>
      </c>
      <c r="O86" s="83">
        <v>818.23</v>
      </c>
      <c r="P86" s="84">
        <v>2.2599999999999998</v>
      </c>
      <c r="Q86" s="83">
        <v>0.28000000000000003</v>
      </c>
      <c r="R86" s="83">
        <v>8.9999999999999993E-3</v>
      </c>
      <c r="S86" s="83">
        <v>0.32</v>
      </c>
    </row>
    <row r="87" spans="2:19">
      <c r="B87" s="81">
        <v>83</v>
      </c>
      <c r="C87" s="82">
        <v>1.84</v>
      </c>
      <c r="D87" s="82">
        <v>999.44</v>
      </c>
      <c r="E87" s="82">
        <v>830.52</v>
      </c>
      <c r="F87" s="82">
        <v>1000.56</v>
      </c>
      <c r="G87" s="83">
        <v>83.01</v>
      </c>
      <c r="H87" s="82">
        <v>3.24</v>
      </c>
      <c r="I87" s="88">
        <v>999.46</v>
      </c>
      <c r="J87" s="82">
        <v>830.53</v>
      </c>
      <c r="K87" s="82">
        <v>1000.54</v>
      </c>
      <c r="L87" s="82">
        <v>83.1</v>
      </c>
      <c r="M87" s="81">
        <v>2.7389999999999999</v>
      </c>
      <c r="N87" s="82">
        <v>2.73</v>
      </c>
      <c r="O87" s="83">
        <v>828.15</v>
      </c>
      <c r="P87" s="84">
        <v>2.38</v>
      </c>
      <c r="Q87" s="83">
        <v>0.28999999999999998</v>
      </c>
      <c r="R87" s="83">
        <v>8.9999999999999993E-3</v>
      </c>
      <c r="S87" s="83">
        <v>0.33</v>
      </c>
    </row>
    <row r="88" spans="2:19">
      <c r="B88" s="81">
        <v>84</v>
      </c>
      <c r="C88" s="82">
        <v>1.84</v>
      </c>
      <c r="D88" s="82">
        <v>999.32</v>
      </c>
      <c r="E88" s="82">
        <v>840.37</v>
      </c>
      <c r="F88" s="82">
        <v>1000.68</v>
      </c>
      <c r="G88" s="83">
        <v>83.98</v>
      </c>
      <c r="H88" s="82">
        <v>3.24</v>
      </c>
      <c r="I88" s="88">
        <v>999.46</v>
      </c>
      <c r="J88" s="82">
        <v>840.4</v>
      </c>
      <c r="K88" s="82">
        <v>1000.54</v>
      </c>
      <c r="L88" s="82">
        <v>84.09</v>
      </c>
      <c r="M88" s="81">
        <v>2.7719999999999998</v>
      </c>
      <c r="N88" s="82">
        <v>2.7627000000000002</v>
      </c>
      <c r="O88" s="83">
        <v>838.06</v>
      </c>
      <c r="P88" s="84">
        <v>2.34</v>
      </c>
      <c r="Q88" s="83">
        <v>0.28000000000000003</v>
      </c>
      <c r="R88" s="83">
        <v>8.9999999999999993E-3</v>
      </c>
      <c r="S88" s="83">
        <v>0.34</v>
      </c>
    </row>
    <row r="89" spans="2:19">
      <c r="B89" s="81">
        <v>85</v>
      </c>
      <c r="C89" s="82">
        <v>1.84</v>
      </c>
      <c r="D89" s="82">
        <v>999.52</v>
      </c>
      <c r="E89" s="82">
        <v>850.52</v>
      </c>
      <c r="F89" s="82">
        <v>1000.48</v>
      </c>
      <c r="G89" s="83">
        <v>85.01</v>
      </c>
      <c r="H89" s="82">
        <v>3.25</v>
      </c>
      <c r="I89" s="88">
        <v>999.46</v>
      </c>
      <c r="J89" s="82">
        <v>850.55</v>
      </c>
      <c r="K89" s="82">
        <v>1000.54</v>
      </c>
      <c r="L89" s="82">
        <v>85.1</v>
      </c>
      <c r="M89" s="81">
        <v>2.8050000000000002</v>
      </c>
      <c r="N89" s="82">
        <v>2.7953999999999999</v>
      </c>
      <c r="O89" s="83">
        <v>847.98</v>
      </c>
      <c r="P89" s="84">
        <v>2.57</v>
      </c>
      <c r="Q89" s="83">
        <v>0.3</v>
      </c>
      <c r="R89" s="83">
        <v>0.01</v>
      </c>
      <c r="S89" s="83">
        <v>0.34</v>
      </c>
    </row>
    <row r="90" spans="2:19">
      <c r="B90" s="81">
        <v>86</v>
      </c>
      <c r="C90" s="82">
        <v>1.84</v>
      </c>
      <c r="D90" s="82">
        <v>999.35</v>
      </c>
      <c r="E90" s="82">
        <v>860.61</v>
      </c>
      <c r="F90" s="82">
        <v>1000.65</v>
      </c>
      <c r="G90" s="83">
        <v>86.01</v>
      </c>
      <c r="H90" s="82">
        <v>3.25</v>
      </c>
      <c r="I90" s="88">
        <v>999.33</v>
      </c>
      <c r="J90" s="82">
        <v>860.46</v>
      </c>
      <c r="K90" s="82">
        <v>1000.67</v>
      </c>
      <c r="L90" s="82">
        <v>86.1</v>
      </c>
      <c r="M90" s="81">
        <v>2.8380000000000001</v>
      </c>
      <c r="N90" s="82">
        <v>2.8281000000000001</v>
      </c>
      <c r="O90" s="83">
        <v>857.89</v>
      </c>
      <c r="P90" s="84">
        <v>2.57</v>
      </c>
      <c r="Q90" s="83">
        <v>0.3</v>
      </c>
      <c r="R90" s="83">
        <v>0.01</v>
      </c>
      <c r="S90" s="83">
        <v>0.35</v>
      </c>
    </row>
    <row r="91" spans="2:19">
      <c r="B91" s="81">
        <v>87</v>
      </c>
      <c r="C91" s="82">
        <v>1.84</v>
      </c>
      <c r="D91" s="82">
        <v>999.52</v>
      </c>
      <c r="E91" s="82">
        <v>870.6</v>
      </c>
      <c r="F91" s="82">
        <v>1000.48</v>
      </c>
      <c r="G91" s="83">
        <v>87.02</v>
      </c>
      <c r="H91" s="82">
        <v>3.24</v>
      </c>
      <c r="I91" s="88">
        <v>999.62</v>
      </c>
      <c r="J91" s="82">
        <v>870.38</v>
      </c>
      <c r="K91" s="82">
        <v>1000.38</v>
      </c>
      <c r="L91" s="82">
        <v>87.07</v>
      </c>
      <c r="M91" s="81">
        <v>2.871</v>
      </c>
      <c r="N91" s="82">
        <v>2.8607</v>
      </c>
      <c r="O91" s="83">
        <v>867.81</v>
      </c>
      <c r="P91" s="84">
        <v>2.57</v>
      </c>
      <c r="Q91" s="83">
        <v>0.3</v>
      </c>
      <c r="R91" s="83">
        <v>0.01</v>
      </c>
      <c r="S91" s="83">
        <v>0.36</v>
      </c>
    </row>
    <row r="92" spans="2:19">
      <c r="B92" s="81">
        <v>88</v>
      </c>
      <c r="C92" s="82">
        <v>1.84</v>
      </c>
      <c r="D92" s="82">
        <v>999.48</v>
      </c>
      <c r="E92" s="82">
        <v>880.44</v>
      </c>
      <c r="F92" s="82">
        <v>1000.52</v>
      </c>
      <c r="G92" s="83">
        <v>88</v>
      </c>
      <c r="H92" s="82">
        <v>3.24</v>
      </c>
      <c r="I92" s="88">
        <v>999.51</v>
      </c>
      <c r="J92" s="82">
        <v>880.59</v>
      </c>
      <c r="K92" s="82">
        <v>1000.49</v>
      </c>
      <c r="L92" s="82">
        <v>88.1</v>
      </c>
      <c r="M92" s="81">
        <v>2.9039999999999999</v>
      </c>
      <c r="N92" s="82">
        <v>2.8934000000000002</v>
      </c>
      <c r="O92" s="83">
        <v>877.72</v>
      </c>
      <c r="P92" s="84">
        <v>2.87</v>
      </c>
      <c r="Q92" s="83">
        <v>0.33</v>
      </c>
      <c r="R92" s="83">
        <v>1.0999999999999999E-2</v>
      </c>
      <c r="S92" s="83">
        <v>0.36</v>
      </c>
    </row>
    <row r="93" spans="2:19">
      <c r="B93" s="81">
        <v>89</v>
      </c>
      <c r="C93" s="82">
        <v>1.84</v>
      </c>
      <c r="D93" s="82">
        <v>999.37</v>
      </c>
      <c r="E93" s="82">
        <v>890.64</v>
      </c>
      <c r="F93" s="82">
        <v>1000.63</v>
      </c>
      <c r="G93" s="83">
        <v>89.01</v>
      </c>
      <c r="H93" s="82">
        <v>3.24</v>
      </c>
      <c r="I93" s="88">
        <v>999.41</v>
      </c>
      <c r="J93" s="82">
        <v>890.6</v>
      </c>
      <c r="K93" s="82">
        <v>1000.59</v>
      </c>
      <c r="L93" s="82">
        <v>89.11</v>
      </c>
      <c r="M93" s="81">
        <v>2.9369999999999998</v>
      </c>
      <c r="N93" s="82">
        <v>2.9260999999999999</v>
      </c>
      <c r="O93" s="83">
        <v>887.64</v>
      </c>
      <c r="P93" s="84">
        <v>2.96</v>
      </c>
      <c r="Q93" s="83">
        <v>0.33</v>
      </c>
      <c r="R93" s="83">
        <v>1.0999999999999999E-2</v>
      </c>
      <c r="S93" s="83">
        <v>0.37</v>
      </c>
    </row>
    <row r="94" spans="2:19">
      <c r="B94" s="81">
        <v>90</v>
      </c>
      <c r="C94" s="82">
        <v>1.84</v>
      </c>
      <c r="D94" s="82">
        <v>999.4</v>
      </c>
      <c r="E94" s="82">
        <v>900.44</v>
      </c>
      <c r="F94" s="82">
        <v>1000.6</v>
      </c>
      <c r="G94" s="83">
        <v>89.99</v>
      </c>
      <c r="H94" s="82">
        <v>3.24</v>
      </c>
      <c r="I94" s="88">
        <v>999.36</v>
      </c>
      <c r="J94" s="82">
        <v>900.66</v>
      </c>
      <c r="K94" s="82">
        <v>1000.64</v>
      </c>
      <c r="L94" s="82">
        <v>90.12</v>
      </c>
      <c r="M94" s="81">
        <v>2.97</v>
      </c>
      <c r="N94" s="82">
        <v>2.9588000000000001</v>
      </c>
      <c r="O94" s="83">
        <v>897.55</v>
      </c>
      <c r="P94" s="84">
        <v>3.11</v>
      </c>
      <c r="Q94" s="83">
        <v>0.35</v>
      </c>
      <c r="R94" s="83">
        <v>1.0999999999999999E-2</v>
      </c>
      <c r="S94" s="83">
        <v>0.38</v>
      </c>
    </row>
    <row r="95" spans="2:19">
      <c r="B95" s="81">
        <v>91</v>
      </c>
      <c r="C95" s="82">
        <v>1.84</v>
      </c>
      <c r="D95" s="82">
        <v>999.48</v>
      </c>
      <c r="E95" s="82">
        <v>910.64</v>
      </c>
      <c r="F95" s="82">
        <v>1000.52</v>
      </c>
      <c r="G95" s="83">
        <v>91.02</v>
      </c>
      <c r="H95" s="82">
        <v>3.25</v>
      </c>
      <c r="I95" s="88">
        <v>999.41</v>
      </c>
      <c r="J95" s="82">
        <v>910.26</v>
      </c>
      <c r="K95" s="82">
        <v>1000.59</v>
      </c>
      <c r="L95" s="82">
        <v>91.08</v>
      </c>
      <c r="M95" s="81">
        <v>3.0030000000000001</v>
      </c>
      <c r="N95" s="82">
        <v>2.9914999999999998</v>
      </c>
      <c r="O95" s="83">
        <v>907.46</v>
      </c>
      <c r="P95" s="84">
        <v>2.8</v>
      </c>
      <c r="Q95" s="83">
        <v>0.31</v>
      </c>
      <c r="R95" s="83">
        <v>1.2E-2</v>
      </c>
      <c r="S95" s="83">
        <v>0.38</v>
      </c>
    </row>
    <row r="96" spans="2:19">
      <c r="B96" s="81">
        <v>92</v>
      </c>
      <c r="C96" s="82">
        <v>1.84</v>
      </c>
      <c r="D96" s="82">
        <v>999.48</v>
      </c>
      <c r="E96" s="82">
        <v>920.48</v>
      </c>
      <c r="F96" s="82">
        <v>1000.52</v>
      </c>
      <c r="G96" s="83">
        <v>92</v>
      </c>
      <c r="H96" s="82">
        <v>3.24</v>
      </c>
      <c r="I96" s="88">
        <v>999.4</v>
      </c>
      <c r="J96" s="82">
        <v>920.69</v>
      </c>
      <c r="K96" s="82">
        <v>1000.6</v>
      </c>
      <c r="L96" s="82">
        <v>92.12</v>
      </c>
      <c r="M96" s="81">
        <v>3.036</v>
      </c>
      <c r="N96" s="82">
        <v>3.0242</v>
      </c>
      <c r="O96" s="83">
        <v>917.38</v>
      </c>
      <c r="P96" s="84">
        <v>3.31</v>
      </c>
      <c r="Q96" s="83">
        <v>0.36</v>
      </c>
      <c r="R96" s="83">
        <v>1.2E-2</v>
      </c>
      <c r="S96" s="83">
        <v>0.39</v>
      </c>
    </row>
    <row r="97" spans="2:19">
      <c r="B97" s="81">
        <v>93</v>
      </c>
      <c r="C97" s="82">
        <v>1.96</v>
      </c>
      <c r="D97" s="82">
        <v>999.44</v>
      </c>
      <c r="E97" s="82">
        <v>930.59</v>
      </c>
      <c r="F97" s="82">
        <v>1000.56</v>
      </c>
      <c r="G97" s="83">
        <v>93.01</v>
      </c>
      <c r="H97" s="82">
        <v>3.24</v>
      </c>
      <c r="I97" s="88">
        <v>999.25</v>
      </c>
      <c r="J97" s="82">
        <v>930.4</v>
      </c>
      <c r="K97" s="82">
        <v>1000.75</v>
      </c>
      <c r="L97" s="82">
        <v>93.11</v>
      </c>
      <c r="M97" s="81">
        <v>3.069</v>
      </c>
      <c r="N97" s="82">
        <v>3.0569000000000002</v>
      </c>
      <c r="O97" s="83">
        <v>927.29</v>
      </c>
      <c r="P97" s="84">
        <v>3.11</v>
      </c>
      <c r="Q97" s="83">
        <v>0.34</v>
      </c>
      <c r="R97" s="83">
        <v>1.2E-2</v>
      </c>
      <c r="S97" s="83">
        <v>0.4</v>
      </c>
    </row>
    <row r="98" spans="2:19">
      <c r="B98" s="81">
        <v>94</v>
      </c>
      <c r="C98" s="82">
        <v>1.99</v>
      </c>
      <c r="D98" s="82">
        <v>999.53</v>
      </c>
      <c r="E98" s="82">
        <v>940.43</v>
      </c>
      <c r="F98" s="82">
        <v>1000.47</v>
      </c>
      <c r="G98" s="83">
        <v>94</v>
      </c>
      <c r="H98" s="82">
        <v>3.26</v>
      </c>
      <c r="I98" s="88">
        <v>999.37</v>
      </c>
      <c r="J98" s="82">
        <v>940.34</v>
      </c>
      <c r="K98" s="82">
        <v>1000.63</v>
      </c>
      <c r="L98" s="82">
        <v>94.09</v>
      </c>
      <c r="M98" s="81">
        <v>3.1019999999999999</v>
      </c>
      <c r="N98" s="82">
        <v>3.0895000000000001</v>
      </c>
      <c r="O98" s="83">
        <v>937.21</v>
      </c>
      <c r="P98" s="84">
        <v>3.13</v>
      </c>
      <c r="Q98" s="83">
        <v>0.33</v>
      </c>
      <c r="R98" s="83">
        <v>1.2E-2</v>
      </c>
      <c r="S98" s="83">
        <v>0.4</v>
      </c>
    </row>
    <row r="99" spans="2:19">
      <c r="B99" s="81">
        <v>95</v>
      </c>
      <c r="C99" s="82">
        <v>2.06</v>
      </c>
      <c r="D99" s="82">
        <v>999.36</v>
      </c>
      <c r="E99" s="82">
        <v>950.68</v>
      </c>
      <c r="F99" s="82">
        <v>1000.64</v>
      </c>
      <c r="G99" s="83">
        <v>95.01</v>
      </c>
      <c r="H99" s="82">
        <v>3.44</v>
      </c>
      <c r="I99" s="88">
        <v>999.41</v>
      </c>
      <c r="J99" s="82">
        <v>950.43</v>
      </c>
      <c r="K99" s="82">
        <v>1000.59</v>
      </c>
      <c r="L99" s="82">
        <v>95.1</v>
      </c>
      <c r="M99" s="81">
        <v>3.1349999999999998</v>
      </c>
      <c r="N99" s="82">
        <v>3.1221999999999999</v>
      </c>
      <c r="O99" s="83">
        <v>947.13</v>
      </c>
      <c r="P99" s="84">
        <v>3.3</v>
      </c>
      <c r="Q99" s="83">
        <v>0.35</v>
      </c>
      <c r="R99" s="83">
        <v>1.2999999999999999E-2</v>
      </c>
      <c r="S99" s="83">
        <v>0.41</v>
      </c>
    </row>
    <row r="100" spans="2:19">
      <c r="B100" s="81">
        <v>96</v>
      </c>
      <c r="C100" s="82">
        <v>2.06</v>
      </c>
      <c r="D100" s="82">
        <v>999.48</v>
      </c>
      <c r="E100" s="82">
        <v>960.48</v>
      </c>
      <c r="F100" s="82">
        <v>1000.52</v>
      </c>
      <c r="G100" s="83">
        <v>96</v>
      </c>
      <c r="H100" s="82">
        <v>3.45</v>
      </c>
      <c r="I100" s="88">
        <v>999.64</v>
      </c>
      <c r="J100" s="82">
        <v>960.44</v>
      </c>
      <c r="K100" s="82">
        <v>1000.36</v>
      </c>
      <c r="L100" s="82">
        <v>96.08</v>
      </c>
      <c r="M100" s="81">
        <v>3.1680000000000001</v>
      </c>
      <c r="N100" s="82">
        <v>3.1549</v>
      </c>
      <c r="O100" s="83">
        <v>957.05</v>
      </c>
      <c r="P100" s="84">
        <v>3.39</v>
      </c>
      <c r="Q100" s="83">
        <v>0.35</v>
      </c>
      <c r="R100" s="83">
        <v>1.2999999999999999E-2</v>
      </c>
      <c r="S100" s="83">
        <v>0.41</v>
      </c>
    </row>
    <row r="101" spans="2:19">
      <c r="B101" s="81">
        <v>97</v>
      </c>
      <c r="C101" s="82">
        <v>2.08</v>
      </c>
      <c r="D101" s="82">
        <v>999.52</v>
      </c>
      <c r="E101" s="82">
        <v>970.56</v>
      </c>
      <c r="F101" s="82">
        <v>1000.48</v>
      </c>
      <c r="G101" s="83">
        <v>97.01</v>
      </c>
      <c r="H101" s="82">
        <v>3.46</v>
      </c>
      <c r="I101" s="88">
        <v>999.51</v>
      </c>
      <c r="J101" s="82">
        <v>970.55</v>
      </c>
      <c r="K101" s="82">
        <v>1000.49</v>
      </c>
      <c r="L101" s="82">
        <v>97.1</v>
      </c>
      <c r="M101" s="81">
        <v>3.2010000000000001</v>
      </c>
      <c r="N101" s="82">
        <v>3.1876000000000002</v>
      </c>
      <c r="O101" s="83">
        <v>966.96</v>
      </c>
      <c r="P101" s="84">
        <v>3.58</v>
      </c>
      <c r="Q101" s="83">
        <v>0.37</v>
      </c>
      <c r="R101" s="83">
        <v>1.2999999999999999E-2</v>
      </c>
      <c r="S101" s="83">
        <v>0.42</v>
      </c>
    </row>
    <row r="102" spans="2:19">
      <c r="B102" s="81">
        <v>98</v>
      </c>
      <c r="C102" s="82">
        <v>2.1</v>
      </c>
      <c r="D102" s="82">
        <v>999.48</v>
      </c>
      <c r="E102" s="82">
        <v>980.46</v>
      </c>
      <c r="F102" s="82">
        <v>1000.52</v>
      </c>
      <c r="G102" s="83">
        <v>97.99</v>
      </c>
      <c r="H102" s="82">
        <v>3.43</v>
      </c>
      <c r="I102" s="88">
        <v>999.23</v>
      </c>
      <c r="J102" s="82">
        <v>980.34</v>
      </c>
      <c r="K102" s="82">
        <v>1000.77</v>
      </c>
      <c r="L102" s="82">
        <v>98.11</v>
      </c>
      <c r="M102" s="81">
        <v>3.234</v>
      </c>
      <c r="N102" s="82">
        <v>3.2202999999999999</v>
      </c>
      <c r="O102" s="83">
        <v>976.88</v>
      </c>
      <c r="P102" s="84">
        <v>3.47</v>
      </c>
      <c r="Q102" s="83">
        <v>0.36</v>
      </c>
      <c r="R102" s="83">
        <v>1.4E-2</v>
      </c>
      <c r="S102" s="83">
        <v>0.42</v>
      </c>
    </row>
    <row r="103" spans="2:19">
      <c r="B103" s="77">
        <v>99</v>
      </c>
      <c r="C103" s="78">
        <v>2</v>
      </c>
      <c r="D103" s="78">
        <v>999.4</v>
      </c>
      <c r="E103" s="78">
        <v>990.51</v>
      </c>
      <c r="F103" s="78">
        <v>1000.6</v>
      </c>
      <c r="G103" s="79">
        <v>98.99</v>
      </c>
      <c r="H103" s="78">
        <v>3.47</v>
      </c>
      <c r="I103" s="87">
        <v>999.51</v>
      </c>
      <c r="J103" s="78">
        <v>990.53</v>
      </c>
      <c r="K103" s="78">
        <v>1000.49</v>
      </c>
      <c r="L103" s="78">
        <v>99.1</v>
      </c>
      <c r="M103" s="77">
        <v>3.2669999999999999</v>
      </c>
      <c r="N103" s="78">
        <v>3.2530000000000001</v>
      </c>
      <c r="O103" s="79">
        <v>986.79</v>
      </c>
      <c r="P103" s="85">
        <v>3.73</v>
      </c>
      <c r="Q103" s="79">
        <v>0.38</v>
      </c>
      <c r="R103" s="79">
        <v>1.4E-2</v>
      </c>
      <c r="S103" s="79">
        <v>0.42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608F-723E-49EB-BBE0-CF7D3DCEA70B}">
  <dimension ref="B1:G103"/>
  <sheetViews>
    <sheetView workbookViewId="0">
      <selection activeCell="I5" sqref="I5"/>
    </sheetView>
  </sheetViews>
  <sheetFormatPr defaultRowHeight="14.45"/>
  <cols>
    <col min="2" max="2" width="17" bestFit="1" customWidth="1"/>
    <col min="3" max="3" width="16.140625" customWidth="1"/>
    <col min="4" max="5" width="13.42578125" bestFit="1" customWidth="1"/>
    <col min="6" max="6" width="13.140625" bestFit="1" customWidth="1"/>
    <col min="7" max="7" width="16.140625" customWidth="1"/>
  </cols>
  <sheetData>
    <row r="1" spans="2:7" ht="15" thickBot="1"/>
    <row r="2" spans="2:7" ht="18.600000000000001" thickBot="1">
      <c r="B2" s="53" t="s">
        <v>0</v>
      </c>
      <c r="C2" s="54"/>
      <c r="D2" s="52" t="s">
        <v>3</v>
      </c>
      <c r="E2" s="12"/>
      <c r="F2" s="56" t="s">
        <v>10</v>
      </c>
      <c r="G2" s="17"/>
    </row>
    <row r="3" spans="2:7" ht="15" thickBot="1">
      <c r="B3" s="43" t="s">
        <v>12</v>
      </c>
      <c r="C3" s="15" t="s">
        <v>15</v>
      </c>
      <c r="D3" s="9" t="s">
        <v>23</v>
      </c>
      <c r="E3" s="9" t="s">
        <v>24</v>
      </c>
      <c r="F3" s="9" t="s">
        <v>25</v>
      </c>
    </row>
    <row r="4" spans="2:7">
      <c r="B4" s="25">
        <v>1</v>
      </c>
      <c r="C4" s="2">
        <v>10.64288</v>
      </c>
      <c r="D4" s="44">
        <v>3.5263025160000003E-2</v>
      </c>
      <c r="E4" s="20">
        <v>10.707487629999999</v>
      </c>
      <c r="F4" s="57">
        <f>ABS(E4-C4)</f>
        <v>6.4607629999999361E-2</v>
      </c>
      <c r="G4" s="2"/>
    </row>
    <row r="5" spans="2:7">
      <c r="B5" s="25">
        <v>2</v>
      </c>
      <c r="C5" s="2">
        <v>20.733419999999999</v>
      </c>
      <c r="D5" s="44">
        <v>6.8031652129999995E-2</v>
      </c>
      <c r="E5" s="20">
        <v>20.638721740000001</v>
      </c>
      <c r="F5" s="58">
        <f t="shared" ref="F5:F68" si="0">ABS(E5-C5)</f>
        <v>9.4698259999997703E-2</v>
      </c>
      <c r="G5" s="2"/>
    </row>
    <row r="6" spans="2:7">
      <c r="B6" s="25">
        <v>3</v>
      </c>
      <c r="C6" s="2">
        <v>30.8202099999999</v>
      </c>
      <c r="D6" s="44">
        <v>0.10084339890000001</v>
      </c>
      <c r="E6" s="20">
        <v>30.593410379999899</v>
      </c>
      <c r="F6" s="58">
        <f t="shared" si="0"/>
        <v>0.22679962000000131</v>
      </c>
      <c r="G6" s="2"/>
    </row>
    <row r="7" spans="2:7">
      <c r="B7" s="25">
        <v>4</v>
      </c>
      <c r="C7" s="2">
        <v>40.669529999999902</v>
      </c>
      <c r="D7" s="44">
        <v>0.1336128617</v>
      </c>
      <c r="E7" s="20">
        <v>40.537022469999997</v>
      </c>
      <c r="F7" s="58">
        <f t="shared" si="0"/>
        <v>0.13250752999990567</v>
      </c>
      <c r="G7" s="2"/>
    </row>
    <row r="8" spans="2:7">
      <c r="B8" s="25">
        <v>5</v>
      </c>
      <c r="C8" s="2">
        <v>50.583939999999899</v>
      </c>
      <c r="D8" s="44">
        <v>0.1663736753</v>
      </c>
      <c r="E8" s="20">
        <v>50.482164929999897</v>
      </c>
      <c r="F8" s="58">
        <f t="shared" si="0"/>
        <v>0.10177507000000219</v>
      </c>
      <c r="G8" s="2"/>
    </row>
    <row r="9" spans="2:7">
      <c r="B9" s="25">
        <v>6</v>
      </c>
      <c r="C9" s="2">
        <v>60.695849999999901</v>
      </c>
      <c r="D9" s="44">
        <v>0.19913904590000001</v>
      </c>
      <c r="E9" s="20">
        <v>60.424880229999999</v>
      </c>
      <c r="F9" s="58">
        <f t="shared" si="0"/>
        <v>0.27096976999990119</v>
      </c>
      <c r="G9" s="2"/>
    </row>
    <row r="10" spans="2:7">
      <c r="B10" s="25">
        <v>7</v>
      </c>
      <c r="C10" s="2">
        <v>70.630840000000006</v>
      </c>
      <c r="D10" s="44">
        <v>0.23195564399999999</v>
      </c>
      <c r="E10" s="20">
        <v>70.383364380000003</v>
      </c>
      <c r="F10" s="58">
        <f t="shared" si="0"/>
        <v>0.247475620000003</v>
      </c>
      <c r="G10" s="2"/>
    </row>
    <row r="11" spans="2:7">
      <c r="B11" s="25">
        <v>8</v>
      </c>
      <c r="C11" s="2">
        <v>80.596379999999996</v>
      </c>
      <c r="D11" s="44">
        <v>0.26473050999999997</v>
      </c>
      <c r="E11" s="20">
        <v>80.327822760000004</v>
      </c>
      <c r="F11" s="58">
        <f t="shared" si="0"/>
        <v>0.2685572399999927</v>
      </c>
      <c r="G11" s="2"/>
    </row>
    <row r="12" spans="2:7">
      <c r="B12" s="25">
        <v>9</v>
      </c>
      <c r="C12" s="2">
        <v>90.621830000000003</v>
      </c>
      <c r="D12" s="44">
        <v>0.29751217639999999</v>
      </c>
      <c r="E12" s="20">
        <v>90.272111420000002</v>
      </c>
      <c r="F12" s="58">
        <f t="shared" si="0"/>
        <v>0.34971858000000111</v>
      </c>
      <c r="G12" s="2"/>
    </row>
    <row r="13" spans="2:7">
      <c r="B13" s="25">
        <v>10</v>
      </c>
      <c r="C13" s="2">
        <v>100.61896</v>
      </c>
      <c r="D13" s="44">
        <v>0.3302882969</v>
      </c>
      <c r="E13" s="20">
        <v>100.2162709</v>
      </c>
      <c r="F13" s="58">
        <f t="shared" si="0"/>
        <v>0.40268910000000346</v>
      </c>
      <c r="G13" s="2"/>
    </row>
    <row r="14" spans="2:7">
      <c r="B14" s="25">
        <v>11</v>
      </c>
      <c r="C14" s="2">
        <v>110.635019999999</v>
      </c>
      <c r="D14" s="44">
        <v>0.36306662340000001</v>
      </c>
      <c r="E14" s="20">
        <v>110.1622557</v>
      </c>
      <c r="F14" s="58">
        <f t="shared" si="0"/>
        <v>0.4727642999989996</v>
      </c>
      <c r="G14" s="2"/>
    </row>
    <row r="15" spans="2:7">
      <c r="B15" s="25">
        <v>12</v>
      </c>
      <c r="C15" s="2">
        <v>120.50924000000001</v>
      </c>
      <c r="D15" s="44">
        <v>0.39588919319999999</v>
      </c>
      <c r="E15" s="20">
        <v>120.1206483</v>
      </c>
      <c r="F15" s="58">
        <f t="shared" si="0"/>
        <v>0.38859170000000631</v>
      </c>
      <c r="G15" s="2"/>
    </row>
    <row r="16" spans="2:7">
      <c r="B16" s="25">
        <v>13</v>
      </c>
      <c r="C16" s="2">
        <v>130.58759000000001</v>
      </c>
      <c r="D16" s="44">
        <v>0.4286625885</v>
      </c>
      <c r="E16" s="20">
        <v>130.0436752</v>
      </c>
      <c r="F16" s="58">
        <f t="shared" si="0"/>
        <v>0.54391480000001025</v>
      </c>
      <c r="G16" s="2"/>
    </row>
    <row r="17" spans="2:7">
      <c r="B17" s="25">
        <v>14</v>
      </c>
      <c r="C17" s="2">
        <v>140.62710999999999</v>
      </c>
      <c r="D17" s="44">
        <v>0.4614511859</v>
      </c>
      <c r="E17" s="20">
        <v>139.9865609</v>
      </c>
      <c r="F17" s="58">
        <f t="shared" si="0"/>
        <v>0.64054909999998699</v>
      </c>
      <c r="G17" s="2"/>
    </row>
    <row r="18" spans="2:7">
      <c r="B18" s="25">
        <v>15</v>
      </c>
      <c r="C18" s="2">
        <v>150.63287</v>
      </c>
      <c r="D18" s="44">
        <v>0.49423452689999903</v>
      </c>
      <c r="E18" s="20">
        <v>149.93050289999999</v>
      </c>
      <c r="F18" s="58">
        <f t="shared" si="0"/>
        <v>0.70236710000000357</v>
      </c>
      <c r="G18" s="2"/>
    </row>
    <row r="19" spans="2:7">
      <c r="B19" s="25">
        <v>16</v>
      </c>
      <c r="C19" s="2">
        <v>160.58928999999901</v>
      </c>
      <c r="D19" s="44">
        <v>0.52707110439999905</v>
      </c>
      <c r="E19" s="20">
        <v>159.88625519999999</v>
      </c>
      <c r="F19" s="58">
        <f t="shared" si="0"/>
        <v>0.70303479999901697</v>
      </c>
      <c r="G19" s="2"/>
    </row>
    <row r="20" spans="2:7">
      <c r="B20" s="25">
        <v>17</v>
      </c>
      <c r="C20" s="2">
        <v>170.51219</v>
      </c>
      <c r="D20" s="44">
        <v>0.55983882029999998</v>
      </c>
      <c r="E20" s="20">
        <v>169.82957060000001</v>
      </c>
      <c r="F20" s="58">
        <f t="shared" si="0"/>
        <v>0.68261939999999299</v>
      </c>
      <c r="G20" s="2"/>
    </row>
    <row r="21" spans="2:7">
      <c r="B21" s="25">
        <v>18</v>
      </c>
      <c r="C21" s="2">
        <v>180.70751999999999</v>
      </c>
      <c r="D21" s="44">
        <v>0.59262100740000001</v>
      </c>
      <c r="E21" s="20">
        <v>179.7736252</v>
      </c>
      <c r="F21" s="58">
        <f t="shared" si="0"/>
        <v>0.93389479999999025</v>
      </c>
      <c r="G21" s="2"/>
    </row>
    <row r="22" spans="2:7">
      <c r="B22" s="25">
        <v>19</v>
      </c>
      <c r="C22" s="2">
        <v>190.673439999999</v>
      </c>
      <c r="D22" s="44">
        <v>0.62540635519999999</v>
      </c>
      <c r="E22" s="20">
        <v>189.71681219999999</v>
      </c>
      <c r="F22" s="58">
        <f t="shared" si="0"/>
        <v>0.95662779999901204</v>
      </c>
      <c r="G22" s="2"/>
    </row>
    <row r="23" spans="2:7">
      <c r="B23" s="25">
        <v>20</v>
      </c>
      <c r="C23" s="2">
        <v>200.67564999999999</v>
      </c>
      <c r="D23" s="44">
        <v>0.65823200009999905</v>
      </c>
      <c r="E23" s="20">
        <v>199.67252669999999</v>
      </c>
      <c r="F23" s="58">
        <f t="shared" si="0"/>
        <v>1.0031232999999986</v>
      </c>
      <c r="G23" s="2"/>
    </row>
    <row r="24" spans="2:7">
      <c r="B24" s="25">
        <v>21</v>
      </c>
      <c r="C24" s="2">
        <v>210.27077</v>
      </c>
      <c r="D24" s="44">
        <v>0.69020150960000004</v>
      </c>
      <c r="E24" s="20">
        <v>209.3668868</v>
      </c>
      <c r="F24" s="58">
        <f t="shared" si="0"/>
        <v>0.90388319999999567</v>
      </c>
      <c r="G24" s="2"/>
    </row>
    <row r="25" spans="2:7">
      <c r="B25" s="25">
        <v>22</v>
      </c>
      <c r="C25" s="2">
        <v>220.15316999999899</v>
      </c>
      <c r="D25" s="44">
        <v>0.72298002360000002</v>
      </c>
      <c r="E25" s="20">
        <v>219.3092772</v>
      </c>
      <c r="F25" s="58">
        <f t="shared" si="0"/>
        <v>0.84389279999899713</v>
      </c>
      <c r="G25" s="2"/>
    </row>
    <row r="26" spans="2:7">
      <c r="B26" s="25">
        <v>23</v>
      </c>
      <c r="C26" s="2">
        <v>230.23654999999999</v>
      </c>
      <c r="D26" s="44">
        <v>0.75580064680000003</v>
      </c>
      <c r="E26" s="20">
        <v>229.26920619999899</v>
      </c>
      <c r="F26" s="58">
        <f t="shared" si="0"/>
        <v>0.96734380000100373</v>
      </c>
      <c r="G26" s="2"/>
    </row>
    <row r="27" spans="2:7">
      <c r="B27" s="25">
        <v>24</v>
      </c>
      <c r="C27" s="2">
        <v>240.27196000000001</v>
      </c>
      <c r="D27" s="44">
        <v>0.78857759289999996</v>
      </c>
      <c r="E27" s="20">
        <v>239.2070239</v>
      </c>
      <c r="F27" s="58">
        <f t="shared" si="0"/>
        <v>1.0649361000000113</v>
      </c>
      <c r="G27" s="2"/>
    </row>
    <row r="28" spans="2:7">
      <c r="B28" s="25">
        <v>25</v>
      </c>
      <c r="C28" s="2">
        <v>250.07606000000001</v>
      </c>
      <c r="D28" s="44">
        <v>0.82136213989999995</v>
      </c>
      <c r="E28" s="20">
        <v>249.15189029999999</v>
      </c>
      <c r="F28" s="58">
        <f t="shared" si="0"/>
        <v>0.92416970000002152</v>
      </c>
      <c r="G28" s="2"/>
    </row>
    <row r="29" spans="2:7">
      <c r="B29" s="25">
        <v>26</v>
      </c>
      <c r="C29" s="2">
        <v>260.10712999999998</v>
      </c>
      <c r="D29" s="44">
        <v>0.85414969129999996</v>
      </c>
      <c r="E29" s="20">
        <v>259.09757580000002</v>
      </c>
      <c r="F29" s="58">
        <f t="shared" si="0"/>
        <v>1.0095541999999682</v>
      </c>
      <c r="G29" s="2"/>
    </row>
    <row r="30" spans="2:7">
      <c r="B30" s="25">
        <v>27</v>
      </c>
      <c r="C30" s="2">
        <v>270.34657999999899</v>
      </c>
      <c r="D30" s="44">
        <v>0.88696939789999996</v>
      </c>
      <c r="E30" s="20">
        <v>269.05652900000001</v>
      </c>
      <c r="F30" s="58">
        <f t="shared" si="0"/>
        <v>1.2900509999989822</v>
      </c>
      <c r="G30" s="2"/>
    </row>
    <row r="31" spans="2:7">
      <c r="B31" s="25">
        <v>28</v>
      </c>
      <c r="C31" s="2">
        <v>280.26985000000002</v>
      </c>
      <c r="D31" s="44">
        <v>0.91975198469999997</v>
      </c>
      <c r="E31" s="20">
        <v>279.00221879999998</v>
      </c>
      <c r="F31" s="58">
        <f t="shared" si="0"/>
        <v>1.2676312000000394</v>
      </c>
      <c r="G31" s="2"/>
    </row>
    <row r="32" spans="2:7">
      <c r="B32" s="25">
        <v>29</v>
      </c>
      <c r="C32" s="2">
        <v>290.19468999999998</v>
      </c>
      <c r="D32" s="44">
        <v>0.95252878770000005</v>
      </c>
      <c r="E32" s="20">
        <v>288.94570160000001</v>
      </c>
      <c r="F32" s="58">
        <f t="shared" si="0"/>
        <v>1.2489883999999734</v>
      </c>
      <c r="G32" s="2"/>
    </row>
    <row r="33" spans="2:7">
      <c r="B33" s="25">
        <v>30</v>
      </c>
      <c r="C33" s="2">
        <v>300.231549999999</v>
      </c>
      <c r="D33" s="44">
        <v>0.98531373219999996</v>
      </c>
      <c r="E33" s="20">
        <v>298.89209109999899</v>
      </c>
      <c r="F33" s="58">
        <f t="shared" si="0"/>
        <v>1.339458900000011</v>
      </c>
      <c r="G33" s="2"/>
    </row>
    <row r="34" spans="2:7">
      <c r="B34" s="25">
        <v>31</v>
      </c>
      <c r="C34" s="2">
        <v>310.23061999999902</v>
      </c>
      <c r="D34" s="44">
        <v>1.018102099</v>
      </c>
      <c r="E34" s="20">
        <v>308.83659319999998</v>
      </c>
      <c r="F34" s="58">
        <f t="shared" si="0"/>
        <v>1.3940267999990397</v>
      </c>
      <c r="G34" s="2"/>
    </row>
    <row r="35" spans="2:7">
      <c r="B35" s="25">
        <v>32</v>
      </c>
      <c r="C35" s="2">
        <v>320.10939000000002</v>
      </c>
      <c r="D35" s="44">
        <v>1.0509183229999901</v>
      </c>
      <c r="E35" s="20">
        <v>318.79623830000003</v>
      </c>
      <c r="F35" s="58">
        <f t="shared" si="0"/>
        <v>1.3131516999999917</v>
      </c>
      <c r="G35" s="2"/>
    </row>
    <row r="36" spans="2:7">
      <c r="B36" s="25">
        <v>33</v>
      </c>
      <c r="C36" s="2">
        <v>330.18695000000002</v>
      </c>
      <c r="D36" s="44">
        <v>1.0837020829999999</v>
      </c>
      <c r="E36" s="20">
        <v>328.73669080000002</v>
      </c>
      <c r="F36" s="58">
        <f t="shared" si="0"/>
        <v>1.450259200000005</v>
      </c>
      <c r="G36" s="2"/>
    </row>
    <row r="37" spans="2:7">
      <c r="B37" s="25">
        <v>34</v>
      </c>
      <c r="C37" s="2">
        <v>340.20094999999998</v>
      </c>
      <c r="D37" s="44">
        <v>1.116481729</v>
      </c>
      <c r="E37" s="20">
        <v>338.68243460000002</v>
      </c>
      <c r="F37" s="58">
        <f t="shared" si="0"/>
        <v>1.5185153999999557</v>
      </c>
      <c r="G37" s="2"/>
    </row>
    <row r="38" spans="2:7">
      <c r="B38" s="25">
        <v>35</v>
      </c>
      <c r="C38" s="2">
        <v>350.03465999999997</v>
      </c>
      <c r="D38" s="44">
        <v>1.149230929</v>
      </c>
      <c r="E38" s="20">
        <v>348.62932629999898</v>
      </c>
      <c r="F38" s="58">
        <f t="shared" si="0"/>
        <v>1.4053337000009947</v>
      </c>
      <c r="G38" s="2"/>
    </row>
    <row r="39" spans="2:7">
      <c r="B39" s="25">
        <v>36</v>
      </c>
      <c r="C39" s="2">
        <v>360.15071</v>
      </c>
      <c r="D39" s="44">
        <v>1.1820343600000001</v>
      </c>
      <c r="E39" s="20">
        <v>358.58671389999898</v>
      </c>
      <c r="F39" s="58">
        <f t="shared" si="0"/>
        <v>1.5639961000010203</v>
      </c>
      <c r="G39" s="2"/>
    </row>
    <row r="40" spans="2:7">
      <c r="B40" s="25">
        <v>37</v>
      </c>
      <c r="C40" s="2">
        <v>370.073749999999</v>
      </c>
      <c r="D40" s="44">
        <v>1.2148118569999999</v>
      </c>
      <c r="E40" s="20">
        <v>368.53235510000002</v>
      </c>
      <c r="F40" s="58">
        <f t="shared" si="0"/>
        <v>1.5413948999989771</v>
      </c>
      <c r="G40" s="2"/>
    </row>
    <row r="41" spans="2:7">
      <c r="B41" s="25">
        <v>38</v>
      </c>
      <c r="C41" s="2">
        <v>380.11279999999999</v>
      </c>
      <c r="D41" s="44">
        <v>1.247586265</v>
      </c>
      <c r="E41" s="20">
        <v>378.47741139999999</v>
      </c>
      <c r="F41" s="58">
        <f t="shared" si="0"/>
        <v>1.6353885999999989</v>
      </c>
      <c r="G41" s="2"/>
    </row>
    <row r="42" spans="2:7">
      <c r="B42" s="25">
        <v>39</v>
      </c>
      <c r="C42" s="2">
        <v>390.08116999999999</v>
      </c>
      <c r="D42" s="44">
        <v>1.28031129</v>
      </c>
      <c r="E42" s="20">
        <v>388.42151049999899</v>
      </c>
      <c r="F42" s="58">
        <f t="shared" si="0"/>
        <v>1.6596595000009984</v>
      </c>
      <c r="G42" s="2"/>
    </row>
    <row r="43" spans="2:7">
      <c r="B43" s="25">
        <v>40</v>
      </c>
      <c r="C43" s="2">
        <v>400.04441000000003</v>
      </c>
      <c r="D43" s="44">
        <v>1.313078134</v>
      </c>
      <c r="E43" s="20">
        <v>398.37764499999997</v>
      </c>
      <c r="F43" s="58">
        <f t="shared" si="0"/>
        <v>1.6667650000000549</v>
      </c>
      <c r="G43" s="2"/>
    </row>
    <row r="44" spans="2:7">
      <c r="B44" s="25">
        <v>41</v>
      </c>
      <c r="C44" s="2">
        <v>409.76179999999903</v>
      </c>
      <c r="D44" s="44">
        <v>1.3449693220000001</v>
      </c>
      <c r="E44" s="20">
        <v>408.08402530000001</v>
      </c>
      <c r="F44" s="58">
        <f t="shared" si="0"/>
        <v>1.67777469999902</v>
      </c>
      <c r="G44" s="2"/>
    </row>
    <row r="45" spans="2:7">
      <c r="B45" s="25">
        <v>42</v>
      </c>
      <c r="C45" s="2">
        <v>419.91104999999902</v>
      </c>
      <c r="D45" s="44">
        <v>1.3776416199999999</v>
      </c>
      <c r="E45" s="20">
        <v>418.01702260000002</v>
      </c>
      <c r="F45" s="58">
        <f t="shared" si="0"/>
        <v>1.894027399999004</v>
      </c>
      <c r="G45" s="2"/>
    </row>
    <row r="46" spans="2:7">
      <c r="B46" s="25">
        <v>43</v>
      </c>
      <c r="C46" s="2">
        <v>429.87875000000003</v>
      </c>
      <c r="D46" s="44">
        <v>1.410337575</v>
      </c>
      <c r="E46" s="20">
        <v>427.97175129999999</v>
      </c>
      <c r="F46" s="58">
        <f t="shared" si="0"/>
        <v>1.906998700000031</v>
      </c>
      <c r="G46" s="2"/>
    </row>
    <row r="47" spans="2:7">
      <c r="B47" s="25">
        <v>44</v>
      </c>
      <c r="C47" s="2">
        <v>439.79455000000002</v>
      </c>
      <c r="D47" s="44">
        <v>1.4429318069999999</v>
      </c>
      <c r="E47" s="20">
        <v>437.91542449999997</v>
      </c>
      <c r="F47" s="58">
        <f t="shared" si="0"/>
        <v>1.8791255000000433</v>
      </c>
      <c r="G47" s="2"/>
    </row>
    <row r="48" spans="2:7">
      <c r="B48" s="25">
        <v>45</v>
      </c>
      <c r="C48" s="2">
        <v>449.67540999999898</v>
      </c>
      <c r="D48" s="44">
        <v>1.475411281</v>
      </c>
      <c r="E48" s="20">
        <v>447.86259399999898</v>
      </c>
      <c r="F48" s="58">
        <f t="shared" si="0"/>
        <v>1.812815999999998</v>
      </c>
      <c r="G48" s="2"/>
    </row>
    <row r="49" spans="2:7">
      <c r="B49" s="25">
        <v>46</v>
      </c>
      <c r="C49" s="2">
        <v>459.79512999999997</v>
      </c>
      <c r="D49" s="44">
        <v>1.5077626559999999</v>
      </c>
      <c r="E49" s="20">
        <v>457.80363999999997</v>
      </c>
      <c r="F49" s="58">
        <f t="shared" si="0"/>
        <v>1.9914899999999989</v>
      </c>
      <c r="G49" s="2"/>
    </row>
    <row r="50" spans="2:7">
      <c r="B50" s="25">
        <v>47</v>
      </c>
      <c r="C50" s="2">
        <v>469.78385999999898</v>
      </c>
      <c r="D50" s="44">
        <v>1.5399653629999901</v>
      </c>
      <c r="E50" s="20">
        <v>467.76290939999899</v>
      </c>
      <c r="F50" s="58">
        <f t="shared" si="0"/>
        <v>2.0209505999999919</v>
      </c>
      <c r="G50" s="2"/>
    </row>
    <row r="51" spans="2:7">
      <c r="B51" s="25">
        <v>48</v>
      </c>
      <c r="C51" s="2">
        <v>479.79262999999997</v>
      </c>
      <c r="D51" s="44">
        <v>1.571871754</v>
      </c>
      <c r="E51" s="20">
        <v>477.70680820000001</v>
      </c>
      <c r="F51" s="58">
        <f t="shared" si="0"/>
        <v>2.0858217999999624</v>
      </c>
      <c r="G51" s="2"/>
    </row>
    <row r="52" spans="2:7">
      <c r="B52" s="25">
        <v>49</v>
      </c>
      <c r="C52" s="2">
        <v>489.87302999999901</v>
      </c>
      <c r="D52" s="44">
        <v>1.6034420149999999</v>
      </c>
      <c r="E52" s="20">
        <v>487.65334869999998</v>
      </c>
      <c r="F52" s="58">
        <f t="shared" si="0"/>
        <v>2.2196812999990243</v>
      </c>
      <c r="G52" s="2"/>
    </row>
    <row r="53" spans="2:7">
      <c r="B53" s="25">
        <v>50</v>
      </c>
      <c r="C53" s="2">
        <v>499.66356000000002</v>
      </c>
      <c r="D53" s="44">
        <v>1.634372199</v>
      </c>
      <c r="E53" s="20">
        <v>497.59427870000002</v>
      </c>
      <c r="F53" s="58">
        <f t="shared" si="0"/>
        <v>2.0692813000000001</v>
      </c>
      <c r="G53" s="2"/>
    </row>
    <row r="54" spans="2:7">
      <c r="B54" s="25">
        <v>51</v>
      </c>
      <c r="C54" s="2">
        <v>509.70486</v>
      </c>
      <c r="D54" s="44">
        <v>1.6646488909999999</v>
      </c>
      <c r="E54" s="20">
        <v>507.53804449999899</v>
      </c>
      <c r="F54" s="58">
        <f t="shared" si="0"/>
        <v>2.1668155000010074</v>
      </c>
      <c r="G54" s="2"/>
    </row>
    <row r="55" spans="2:7">
      <c r="B55" s="25">
        <v>52</v>
      </c>
      <c r="C55" s="2">
        <v>519.74500999999998</v>
      </c>
      <c r="D55" s="44">
        <v>1.6941576739999999</v>
      </c>
      <c r="E55" s="20">
        <v>517.49311899999998</v>
      </c>
      <c r="F55" s="58">
        <f t="shared" si="0"/>
        <v>2.2518910000000005</v>
      </c>
      <c r="G55" s="2"/>
    </row>
    <row r="56" spans="2:7">
      <c r="B56" s="25">
        <v>53</v>
      </c>
      <c r="C56" s="2">
        <v>529.75316999999995</v>
      </c>
      <c r="D56" s="44">
        <v>1.722669633</v>
      </c>
      <c r="E56" s="20">
        <v>527.43678120000004</v>
      </c>
      <c r="F56" s="58">
        <f t="shared" si="0"/>
        <v>2.3163887999999133</v>
      </c>
      <c r="G56" s="2"/>
    </row>
    <row r="57" spans="2:7">
      <c r="B57" s="25">
        <v>54</v>
      </c>
      <c r="C57" s="2">
        <v>539.67556000000002</v>
      </c>
      <c r="D57" s="44">
        <v>1.749939133</v>
      </c>
      <c r="E57" s="20">
        <v>537.38100710000003</v>
      </c>
      <c r="F57" s="58">
        <f t="shared" si="0"/>
        <v>2.2945528999999851</v>
      </c>
      <c r="G57" s="2"/>
    </row>
    <row r="58" spans="2:7">
      <c r="B58" s="25">
        <v>55</v>
      </c>
      <c r="C58" s="2">
        <v>549.63518999999997</v>
      </c>
      <c r="D58" s="44">
        <v>1.7757718250000001</v>
      </c>
      <c r="E58" s="20">
        <v>547.3236101</v>
      </c>
      <c r="F58" s="58">
        <f t="shared" si="0"/>
        <v>2.3115798999999697</v>
      </c>
      <c r="G58" s="2"/>
    </row>
    <row r="59" spans="2:7">
      <c r="B59" s="25">
        <v>56</v>
      </c>
      <c r="C59" s="2">
        <v>559.71132</v>
      </c>
      <c r="D59" s="44">
        <v>1.7998095409999999</v>
      </c>
      <c r="E59" s="20">
        <v>557.27763540000001</v>
      </c>
      <c r="F59" s="58">
        <f t="shared" si="0"/>
        <v>2.4336845999999923</v>
      </c>
      <c r="G59" s="2"/>
    </row>
    <row r="60" spans="2:7">
      <c r="B60" s="25">
        <v>57</v>
      </c>
      <c r="C60" s="2">
        <v>569.68979000000002</v>
      </c>
      <c r="D60" s="44">
        <v>1.8221799679999999</v>
      </c>
      <c r="E60" s="20">
        <v>567.222431999999</v>
      </c>
      <c r="F60" s="58">
        <f t="shared" si="0"/>
        <v>2.4673580000010134</v>
      </c>
      <c r="G60" s="2"/>
    </row>
    <row r="61" spans="2:7">
      <c r="B61" s="25">
        <v>58</v>
      </c>
      <c r="C61" s="2">
        <v>579.63485000000003</v>
      </c>
      <c r="D61" s="44">
        <v>1.8419448279999999</v>
      </c>
      <c r="E61" s="20">
        <v>577.16880060000005</v>
      </c>
      <c r="F61" s="58">
        <f t="shared" si="0"/>
        <v>2.4660493999999744</v>
      </c>
      <c r="G61" s="2"/>
    </row>
    <row r="62" spans="2:7">
      <c r="B62" s="25">
        <v>59</v>
      </c>
      <c r="C62" s="2">
        <v>589.675829999999</v>
      </c>
      <c r="D62" s="44">
        <v>1.860706747</v>
      </c>
      <c r="E62" s="20">
        <v>587.11588710000001</v>
      </c>
      <c r="F62" s="58">
        <f t="shared" si="0"/>
        <v>2.5599428999989868</v>
      </c>
      <c r="G62" s="2"/>
    </row>
    <row r="63" spans="2:7">
      <c r="B63" s="25">
        <v>60</v>
      </c>
      <c r="C63" s="2">
        <v>599.63072999999895</v>
      </c>
      <c r="D63" s="44">
        <v>1.877341594</v>
      </c>
      <c r="E63" s="20">
        <v>597.07565320000003</v>
      </c>
      <c r="F63" s="58">
        <f t="shared" si="0"/>
        <v>2.5550767999989148</v>
      </c>
      <c r="G63" s="2"/>
    </row>
    <row r="64" spans="2:7">
      <c r="B64" s="25">
        <v>61</v>
      </c>
      <c r="C64" s="2">
        <v>609.43710999999996</v>
      </c>
      <c r="D64" s="44">
        <v>1.892349412</v>
      </c>
      <c r="E64" s="20">
        <v>606.76603709999995</v>
      </c>
      <c r="F64" s="58">
        <f t="shared" si="0"/>
        <v>2.6710729000000129</v>
      </c>
      <c r="G64" s="2"/>
    </row>
    <row r="65" spans="2:7">
      <c r="B65" s="25">
        <v>62</v>
      </c>
      <c r="C65" s="2">
        <v>619.51926000000003</v>
      </c>
      <c r="D65" s="44">
        <v>1.90759468199999</v>
      </c>
      <c r="E65" s="20">
        <v>616.7088569</v>
      </c>
      <c r="F65" s="58">
        <f t="shared" si="0"/>
        <v>2.8104031000000305</v>
      </c>
      <c r="G65" s="2"/>
    </row>
    <row r="66" spans="2:7">
      <c r="B66" s="25">
        <v>63</v>
      </c>
      <c r="C66" s="2">
        <v>629.31129999999996</v>
      </c>
      <c r="D66" s="44">
        <v>1.9208822909999901</v>
      </c>
      <c r="E66" s="20">
        <v>626.67457990000003</v>
      </c>
      <c r="F66" s="58">
        <f t="shared" si="0"/>
        <v>2.6367200999999341</v>
      </c>
      <c r="G66" s="2"/>
    </row>
    <row r="67" spans="2:7">
      <c r="B67" s="25">
        <v>64</v>
      </c>
      <c r="C67" s="2">
        <v>639.35463000000004</v>
      </c>
      <c r="D67" s="44">
        <v>1.9333863409999901</v>
      </c>
      <c r="E67" s="20">
        <v>636.60728129999995</v>
      </c>
      <c r="F67" s="58">
        <f t="shared" si="0"/>
        <v>2.7473487000000887</v>
      </c>
      <c r="G67" s="2"/>
    </row>
    <row r="68" spans="2:7">
      <c r="B68" s="25">
        <v>65</v>
      </c>
      <c r="C68" s="2">
        <v>649.30751999999995</v>
      </c>
      <c r="D68" s="44">
        <v>1.9450317580000001</v>
      </c>
      <c r="E68" s="20">
        <v>646.55555230000004</v>
      </c>
      <c r="F68" s="58">
        <f t="shared" si="0"/>
        <v>2.7519676999999092</v>
      </c>
      <c r="G68" s="2"/>
    </row>
    <row r="69" spans="2:7">
      <c r="B69" s="25">
        <v>66</v>
      </c>
      <c r="C69" s="2">
        <v>659.22681999999895</v>
      </c>
      <c r="D69" s="44">
        <v>1.956362369</v>
      </c>
      <c r="E69" s="20">
        <v>656.49153849999902</v>
      </c>
      <c r="F69" s="58">
        <f t="shared" ref="F69:F102" si="1">ABS(E69-C69)</f>
        <v>2.7352814999999282</v>
      </c>
      <c r="G69" s="2"/>
    </row>
    <row r="70" spans="2:7">
      <c r="B70" s="25">
        <v>67</v>
      </c>
      <c r="C70" s="2">
        <v>669.31069000000002</v>
      </c>
      <c r="D70" s="44">
        <v>1.9662173219999901</v>
      </c>
      <c r="E70" s="20">
        <v>666.44577949999996</v>
      </c>
      <c r="F70" s="58">
        <f t="shared" si="1"/>
        <v>2.8649105000000645</v>
      </c>
      <c r="G70" s="2"/>
    </row>
    <row r="71" spans="2:7">
      <c r="B71" s="25">
        <v>68</v>
      </c>
      <c r="C71" s="2">
        <v>679.32285000000002</v>
      </c>
      <c r="D71" s="44">
        <v>1.975582919</v>
      </c>
      <c r="E71" s="20">
        <v>676.38524439999901</v>
      </c>
      <c r="F71" s="58">
        <f t="shared" si="1"/>
        <v>2.9376056000010067</v>
      </c>
      <c r="G71" s="2"/>
    </row>
    <row r="72" spans="2:7">
      <c r="B72" s="25">
        <v>69</v>
      </c>
      <c r="C72" s="2">
        <v>689.31358999999998</v>
      </c>
      <c r="D72" s="44">
        <v>1.984484669</v>
      </c>
      <c r="E72" s="20">
        <v>686.327226899999</v>
      </c>
      <c r="F72" s="58">
        <f t="shared" si="1"/>
        <v>2.9863631000009718</v>
      </c>
      <c r="G72" s="2"/>
    </row>
    <row r="73" spans="2:7">
      <c r="B73" s="25">
        <v>70</v>
      </c>
      <c r="C73" s="2">
        <v>699.22821999999906</v>
      </c>
      <c r="D73" s="44">
        <v>1.99206487999999</v>
      </c>
      <c r="E73" s="20">
        <v>696.2735113</v>
      </c>
      <c r="F73" s="58">
        <f t="shared" si="1"/>
        <v>2.9547086999990597</v>
      </c>
      <c r="G73" s="2"/>
    </row>
    <row r="74" spans="2:7">
      <c r="B74" s="25">
        <v>71</v>
      </c>
      <c r="C74" s="2">
        <v>709.27246000000002</v>
      </c>
      <c r="D74" s="44">
        <v>2.00010760499999</v>
      </c>
      <c r="E74" s="20">
        <v>706.2164937</v>
      </c>
      <c r="F74" s="58">
        <f t="shared" si="1"/>
        <v>3.0559663000000228</v>
      </c>
      <c r="G74" s="2"/>
    </row>
    <row r="75" spans="2:7">
      <c r="B75" s="25">
        <v>72</v>
      </c>
      <c r="C75" s="2">
        <v>719.34847999999897</v>
      </c>
      <c r="D75" s="44">
        <v>2.0073500910000002</v>
      </c>
      <c r="E75" s="20">
        <v>716.17148269999996</v>
      </c>
      <c r="F75" s="58">
        <f t="shared" si="1"/>
        <v>3.1769972999990159</v>
      </c>
      <c r="G75" s="2"/>
    </row>
    <row r="76" spans="2:7">
      <c r="B76" s="25">
        <v>73</v>
      </c>
      <c r="C76" s="2">
        <v>729.34758999999997</v>
      </c>
      <c r="D76" s="44">
        <v>2.01409671199999</v>
      </c>
      <c r="E76" s="20">
        <v>726.113518</v>
      </c>
      <c r="F76" s="58">
        <f t="shared" si="1"/>
        <v>3.2340719999999692</v>
      </c>
      <c r="G76" s="2"/>
    </row>
    <row r="77" spans="2:7">
      <c r="B77" s="25">
        <v>74</v>
      </c>
      <c r="C77" s="2">
        <v>739.30369999999903</v>
      </c>
      <c r="D77" s="44">
        <v>2.0201438999999999</v>
      </c>
      <c r="E77" s="20">
        <v>736.05469289999996</v>
      </c>
      <c r="F77" s="58">
        <f t="shared" si="1"/>
        <v>3.2490070999990621</v>
      </c>
      <c r="G77" s="2"/>
    </row>
    <row r="78" spans="2:7">
      <c r="B78" s="25">
        <v>75</v>
      </c>
      <c r="C78" s="2">
        <v>749.23032000000001</v>
      </c>
      <c r="D78" s="44">
        <v>2.02630089899999</v>
      </c>
      <c r="E78" s="20">
        <v>745.99553500000002</v>
      </c>
      <c r="F78" s="58">
        <f t="shared" si="1"/>
        <v>3.234784999999988</v>
      </c>
      <c r="G78" s="2"/>
    </row>
    <row r="79" spans="2:7">
      <c r="B79" s="25">
        <v>76</v>
      </c>
      <c r="C79" s="2">
        <v>759.27868999999998</v>
      </c>
      <c r="D79" s="44">
        <v>2.0321173880000001</v>
      </c>
      <c r="E79" s="20">
        <v>755.96027879999997</v>
      </c>
      <c r="F79" s="58">
        <f t="shared" si="1"/>
        <v>3.3184112000000141</v>
      </c>
      <c r="G79" s="2"/>
    </row>
    <row r="80" spans="2:7">
      <c r="B80" s="25">
        <v>77</v>
      </c>
      <c r="C80" s="2">
        <v>769.23825999999997</v>
      </c>
      <c r="D80" s="44">
        <v>2.0375136839999999</v>
      </c>
      <c r="E80" s="20">
        <v>765.89240930000005</v>
      </c>
      <c r="F80" s="58">
        <f t="shared" si="1"/>
        <v>3.3458506999999145</v>
      </c>
      <c r="G80" s="2"/>
    </row>
    <row r="81" spans="2:7">
      <c r="B81" s="25">
        <v>78</v>
      </c>
      <c r="C81" s="2">
        <v>779.23312999999996</v>
      </c>
      <c r="D81" s="44">
        <v>2.042589671</v>
      </c>
      <c r="E81" s="20">
        <v>775.83579039999995</v>
      </c>
      <c r="F81" s="58">
        <f t="shared" si="1"/>
        <v>3.3973396000000093</v>
      </c>
      <c r="G81" s="2"/>
    </row>
    <row r="82" spans="2:7">
      <c r="B82" s="25">
        <v>79</v>
      </c>
      <c r="C82" s="2">
        <v>789.19307000000003</v>
      </c>
      <c r="D82" s="44">
        <v>2.0477596010000001</v>
      </c>
      <c r="E82" s="20">
        <v>785.77798259999997</v>
      </c>
      <c r="F82" s="58">
        <f t="shared" si="1"/>
        <v>3.4150874000000613</v>
      </c>
      <c r="G82" s="2"/>
    </row>
    <row r="83" spans="2:7">
      <c r="B83" s="25">
        <v>80</v>
      </c>
      <c r="C83" s="2">
        <v>799.23166000000003</v>
      </c>
      <c r="D83" s="44">
        <v>2.0525699990000001</v>
      </c>
      <c r="E83" s="20">
        <v>795.73363889999996</v>
      </c>
      <c r="F83" s="58">
        <f t="shared" si="1"/>
        <v>3.4980211000000736</v>
      </c>
      <c r="G83" s="2"/>
    </row>
    <row r="84" spans="2:7">
      <c r="B84" s="25">
        <v>81</v>
      </c>
      <c r="C84" s="2">
        <v>809.03427999999894</v>
      </c>
      <c r="D84" s="44">
        <v>2.0573445109999899</v>
      </c>
      <c r="E84" s="20">
        <v>805.43019249999998</v>
      </c>
      <c r="F84" s="58">
        <f t="shared" si="1"/>
        <v>3.6040874999989683</v>
      </c>
      <c r="G84" s="2"/>
    </row>
    <row r="85" spans="2:7">
      <c r="B85" s="25">
        <v>82</v>
      </c>
      <c r="C85" s="2">
        <v>818.94804999999894</v>
      </c>
      <c r="D85" s="44">
        <v>2.0617105389999999</v>
      </c>
      <c r="E85" s="20">
        <v>815.36665370000003</v>
      </c>
      <c r="F85" s="58">
        <f t="shared" si="1"/>
        <v>3.5813962999989144</v>
      </c>
      <c r="G85" s="2"/>
    </row>
    <row r="86" spans="2:7">
      <c r="B86" s="25">
        <v>83</v>
      </c>
      <c r="C86" s="2">
        <v>828.95119</v>
      </c>
      <c r="D86" s="44">
        <v>2.0658460330000001</v>
      </c>
      <c r="E86" s="20">
        <v>825.3236091</v>
      </c>
      <c r="F86" s="58">
        <f t="shared" si="1"/>
        <v>3.6275808999999981</v>
      </c>
      <c r="G86" s="2"/>
    </row>
    <row r="87" spans="2:7">
      <c r="B87" s="25">
        <v>84</v>
      </c>
      <c r="C87" s="2">
        <v>839.12616999999898</v>
      </c>
      <c r="D87" s="44">
        <v>2.0701532419999999</v>
      </c>
      <c r="E87" s="20">
        <v>835.26694599999996</v>
      </c>
      <c r="F87" s="58">
        <f t="shared" si="1"/>
        <v>3.859223999999017</v>
      </c>
      <c r="G87" s="2"/>
    </row>
    <row r="88" spans="2:7">
      <c r="B88" s="25">
        <v>85</v>
      </c>
      <c r="C88" s="2">
        <v>848.90980999999999</v>
      </c>
      <c r="D88" s="44">
        <v>2.074392901</v>
      </c>
      <c r="E88" s="20">
        <v>845.20659720000003</v>
      </c>
      <c r="F88" s="58">
        <f t="shared" si="1"/>
        <v>3.7032127999999602</v>
      </c>
      <c r="G88" s="2"/>
    </row>
    <row r="89" spans="2:7">
      <c r="B89" s="25">
        <v>86</v>
      </c>
      <c r="C89" s="2">
        <v>858.99755000000005</v>
      </c>
      <c r="D89" s="44">
        <v>2.0779922150000001</v>
      </c>
      <c r="E89" s="20">
        <v>855.15074040000002</v>
      </c>
      <c r="F89" s="58">
        <f t="shared" si="1"/>
        <v>3.8468096000000287</v>
      </c>
      <c r="G89" s="2"/>
    </row>
    <row r="90" spans="2:7">
      <c r="B90" s="25">
        <v>87</v>
      </c>
      <c r="C90" s="2">
        <v>868.91511000000003</v>
      </c>
      <c r="D90" s="44">
        <v>2.0817859489999999</v>
      </c>
      <c r="E90" s="20">
        <v>865.10491239999999</v>
      </c>
      <c r="F90" s="58">
        <f t="shared" si="1"/>
        <v>3.8101976000000377</v>
      </c>
      <c r="G90" s="2"/>
    </row>
    <row r="91" spans="2:7">
      <c r="B91" s="25">
        <v>88</v>
      </c>
      <c r="C91" s="2">
        <v>878.88147999999899</v>
      </c>
      <c r="D91" s="44">
        <v>2.0853291349999998</v>
      </c>
      <c r="E91" s="20">
        <v>875.04746509999995</v>
      </c>
      <c r="F91" s="58">
        <f t="shared" si="1"/>
        <v>3.8340148999990333</v>
      </c>
      <c r="G91" s="2"/>
    </row>
    <row r="92" spans="2:7">
      <c r="B92" s="25">
        <v>89</v>
      </c>
      <c r="C92" s="2">
        <v>888.87145999999996</v>
      </c>
      <c r="D92" s="44">
        <v>2.0888789449999998</v>
      </c>
      <c r="E92" s="20">
        <v>884.98864359999902</v>
      </c>
      <c r="F92" s="58">
        <f t="shared" si="1"/>
        <v>3.8828164000009338</v>
      </c>
      <c r="G92" s="2"/>
    </row>
    <row r="93" spans="2:7">
      <c r="B93" s="25">
        <v>90</v>
      </c>
      <c r="C93" s="2">
        <v>898.79171999999903</v>
      </c>
      <c r="D93" s="44">
        <v>2.0922608820000002</v>
      </c>
      <c r="E93" s="20">
        <v>894.93194819999997</v>
      </c>
      <c r="F93" s="58">
        <f t="shared" si="1"/>
        <v>3.8597717999990664</v>
      </c>
      <c r="G93" s="2"/>
    </row>
    <row r="94" spans="2:7">
      <c r="B94" s="25">
        <v>91</v>
      </c>
      <c r="C94" s="2">
        <v>908.92601999999897</v>
      </c>
      <c r="D94" s="44">
        <v>2.0955543350000001</v>
      </c>
      <c r="E94" s="20">
        <v>904.86947080000004</v>
      </c>
      <c r="F94" s="58">
        <f t="shared" si="1"/>
        <v>4.0565491999989263</v>
      </c>
      <c r="G94" s="2"/>
    </row>
    <row r="95" spans="2:7">
      <c r="B95" s="25">
        <v>92</v>
      </c>
      <c r="C95" s="2">
        <v>918.88053000000002</v>
      </c>
      <c r="D95" s="44">
        <v>2.0986300409999998</v>
      </c>
      <c r="E95" s="20">
        <v>914.82869700000003</v>
      </c>
      <c r="F95" s="58">
        <f t="shared" si="1"/>
        <v>4.0518329999999878</v>
      </c>
      <c r="G95" s="2"/>
    </row>
    <row r="96" spans="2:7">
      <c r="B96" s="25">
        <v>93</v>
      </c>
      <c r="C96" s="2">
        <v>928.82616999999902</v>
      </c>
      <c r="D96" s="44">
        <v>2.1021259109999999</v>
      </c>
      <c r="E96" s="20">
        <v>924.76678900000002</v>
      </c>
      <c r="F96" s="58">
        <f t="shared" si="1"/>
        <v>4.0593809999990071</v>
      </c>
      <c r="G96" s="2"/>
    </row>
    <row r="97" spans="2:7">
      <c r="B97" s="25">
        <v>94</v>
      </c>
      <c r="C97" s="2">
        <v>938.79373999999996</v>
      </c>
      <c r="D97" s="44">
        <v>2.1049729890000002</v>
      </c>
      <c r="E97" s="20">
        <v>934.7075542</v>
      </c>
      <c r="F97" s="58">
        <f t="shared" si="1"/>
        <v>4.0861857999999529</v>
      </c>
      <c r="G97" s="2"/>
    </row>
    <row r="98" spans="2:7">
      <c r="B98" s="25">
        <v>95</v>
      </c>
      <c r="C98" s="2">
        <v>948.78881999999999</v>
      </c>
      <c r="D98" s="44">
        <v>2.1081023320000001</v>
      </c>
      <c r="E98" s="20">
        <v>944.64795579999998</v>
      </c>
      <c r="F98" s="58">
        <f t="shared" si="1"/>
        <v>4.14086420000001</v>
      </c>
      <c r="G98" s="2"/>
    </row>
    <row r="99" spans="2:7">
      <c r="B99" s="25">
        <v>96</v>
      </c>
      <c r="C99" s="2">
        <v>958.86473000000001</v>
      </c>
      <c r="D99" s="44">
        <v>2.1110356590000001</v>
      </c>
      <c r="E99" s="20">
        <v>954.60096829999998</v>
      </c>
      <c r="F99" s="58">
        <f t="shared" si="1"/>
        <v>4.2637617000000319</v>
      </c>
      <c r="G99" s="2"/>
    </row>
    <row r="100" spans="2:7">
      <c r="B100" s="25">
        <v>97</v>
      </c>
      <c r="C100" s="2">
        <v>968.81299000000001</v>
      </c>
      <c r="D100" s="44">
        <v>2.113737902</v>
      </c>
      <c r="E100" s="20">
        <v>964.54396450000002</v>
      </c>
      <c r="F100" s="58">
        <f t="shared" si="1"/>
        <v>4.2690254999999979</v>
      </c>
      <c r="G100" s="2"/>
    </row>
    <row r="101" spans="2:7">
      <c r="B101" s="25">
        <v>98</v>
      </c>
      <c r="C101" s="2">
        <v>978.71906999999999</v>
      </c>
      <c r="D101" s="44">
        <v>2.11654644</v>
      </c>
      <c r="E101" s="20">
        <v>974.48894959999905</v>
      </c>
      <c r="F101" s="58">
        <f t="shared" si="1"/>
        <v>4.230120400000942</v>
      </c>
      <c r="G101" s="2"/>
    </row>
    <row r="102" spans="2:7" ht="15" thickBot="1">
      <c r="B102" s="26">
        <v>99</v>
      </c>
      <c r="C102" s="4">
        <v>988.80431999999905</v>
      </c>
      <c r="D102" s="45">
        <v>2.1193761860000002</v>
      </c>
      <c r="E102" s="27">
        <v>984.42885309999997</v>
      </c>
      <c r="F102" s="59">
        <f t="shared" si="1"/>
        <v>4.3754668999990827</v>
      </c>
      <c r="G102" s="2"/>
    </row>
    <row r="103" spans="2:7">
      <c r="C103" s="1"/>
      <c r="D103" s="29"/>
      <c r="G10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 REDDY B R</dc:creator>
  <cp:keywords/>
  <dc:description/>
  <cp:lastModifiedBy>B R, Shreya Reddy (FT RPD ICE ELS-IN)</cp:lastModifiedBy>
  <cp:revision/>
  <dcterms:created xsi:type="dcterms:W3CDTF">2025-08-08T02:45:53Z</dcterms:created>
  <dcterms:modified xsi:type="dcterms:W3CDTF">2025-10-06T03:06:44Z</dcterms:modified>
  <cp:category/>
  <cp:contentStatus/>
</cp:coreProperties>
</file>